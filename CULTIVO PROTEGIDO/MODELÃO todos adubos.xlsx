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orgelboliveira/BACKUP basta retirar/BACKUP MAC jorge ago20/Lab Hidroponia/Soluções/aa MODELÃO/"/>
    </mc:Choice>
  </mc:AlternateContent>
  <xr:revisionPtr revIDLastSave="0" documentId="13_ncr:1_{B4E46D82-DC03-9943-85D7-074E27553338}" xr6:coauthVersionLast="47" xr6:coauthVersionMax="47" xr10:uidLastSave="{00000000-0000-0000-0000-000000000000}"/>
  <bookViews>
    <workbookView xWindow="0" yWindow="500" windowWidth="18820" windowHeight="18060" xr2:uid="{00000000-000D-0000-FFFF-FFFF00000000}"/>
  </bookViews>
  <sheets>
    <sheet name="Modelã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7" i="3" l="1"/>
  <c r="L26" i="3"/>
  <c r="K17" i="3"/>
  <c r="L37" i="3"/>
  <c r="F31" i="3"/>
  <c r="E31" i="3"/>
  <c r="D31" i="3" s="1"/>
  <c r="H26" i="3"/>
  <c r="E20" i="3"/>
  <c r="D20" i="3" s="1"/>
  <c r="J20" i="3"/>
  <c r="K34" i="3"/>
  <c r="F34" i="3"/>
  <c r="G29" i="3"/>
  <c r="E4" i="3"/>
  <c r="D4" i="3" s="1"/>
  <c r="F4" i="3"/>
  <c r="F37" i="3" s="1"/>
  <c r="F8" i="3"/>
  <c r="D8" i="3"/>
  <c r="E11" i="3"/>
  <c r="D11" i="3"/>
  <c r="D34" i="3"/>
  <c r="H11" i="3"/>
  <c r="H37" i="3" s="1"/>
  <c r="H14" i="3"/>
  <c r="H23" i="3"/>
  <c r="I4" i="3"/>
  <c r="I37" i="3" s="1"/>
  <c r="G45" i="3"/>
  <c r="J44" i="3"/>
  <c r="I44" i="3"/>
  <c r="H44" i="3"/>
  <c r="F44" i="3"/>
  <c r="E44" i="3"/>
  <c r="J43" i="3"/>
  <c r="I43" i="3"/>
  <c r="H43" i="3"/>
  <c r="G43" i="3"/>
  <c r="F43" i="3"/>
  <c r="E43" i="3"/>
  <c r="J42" i="3"/>
  <c r="I42" i="3"/>
  <c r="I61" i="3" s="1"/>
  <c r="H42" i="3"/>
  <c r="G42" i="3"/>
  <c r="F42" i="3"/>
  <c r="E42" i="3"/>
  <c r="F49" i="3"/>
  <c r="I57" i="3"/>
  <c r="I59" i="3"/>
  <c r="E55" i="3"/>
  <c r="H51" i="3"/>
  <c r="J53" i="3"/>
  <c r="C37" i="3"/>
  <c r="K23" i="3"/>
  <c r="K37" i="3" s="1"/>
  <c r="J17" i="3"/>
  <c r="J37" i="3"/>
  <c r="G14" i="3"/>
  <c r="G8" i="3"/>
  <c r="G37" i="3"/>
  <c r="E37" i="3"/>
  <c r="G61" i="3" l="1"/>
  <c r="F61" i="3"/>
  <c r="J61" i="3"/>
  <c r="H61" i="3"/>
  <c r="E61" i="3"/>
  <c r="D37" i="3"/>
  <c r="B40" i="3" s="1"/>
  <c r="B39" i="3"/>
  <c r="B38" i="3"/>
</calcChain>
</file>

<file path=xl/sharedStrings.xml><?xml version="1.0" encoding="utf-8"?>
<sst xmlns="http://schemas.openxmlformats.org/spreadsheetml/2006/main" count="100" uniqueCount="76">
  <si>
    <t>SAL UTILIZADO</t>
  </si>
  <si>
    <t>FÓRMULA</t>
  </si>
  <si>
    <t>QTIDE</t>
  </si>
  <si>
    <t>N total</t>
  </si>
  <si>
    <t>P</t>
  </si>
  <si>
    <t>K</t>
  </si>
  <si>
    <t>Ca</t>
  </si>
  <si>
    <t>Mg</t>
  </si>
  <si>
    <t>S</t>
  </si>
  <si>
    <r>
      <t>Ca NO</t>
    </r>
    <r>
      <rPr>
        <b/>
        <sz val="8"/>
        <rFont val="Arial"/>
        <family val="2"/>
      </rPr>
      <t>3</t>
    </r>
  </si>
  <si>
    <t>% Ca</t>
  </si>
  <si>
    <r>
      <t>% NO</t>
    </r>
    <r>
      <rPr>
        <sz val="8"/>
        <rFont val="Arial"/>
        <family val="2"/>
      </rPr>
      <t>3</t>
    </r>
  </si>
  <si>
    <r>
      <t>% NH</t>
    </r>
    <r>
      <rPr>
        <sz val="8"/>
        <rFont val="Arial"/>
        <family val="2"/>
      </rPr>
      <t>4</t>
    </r>
  </si>
  <si>
    <t>MAP (11 - 60 - 0)</t>
  </si>
  <si>
    <r>
      <t>(NH</t>
    </r>
    <r>
      <rPr>
        <b/>
        <sz val="8"/>
        <rFont val="Arial"/>
        <family val="2"/>
      </rPr>
      <t>4</t>
    </r>
    <r>
      <rPr>
        <b/>
        <sz val="10"/>
        <rFont val="Arial"/>
        <family val="2"/>
      </rPr>
      <t>) H</t>
    </r>
    <r>
      <rPr>
        <b/>
        <sz val="8"/>
        <rFont val="Arial"/>
        <family val="2"/>
      </rPr>
      <t>2</t>
    </r>
    <r>
      <rPr>
        <b/>
        <sz val="10"/>
        <rFont val="Arial"/>
        <family val="2"/>
      </rPr>
      <t xml:space="preserve"> PO</t>
    </r>
    <r>
      <rPr>
        <b/>
        <sz val="8"/>
        <rFont val="Arial"/>
        <family val="2"/>
      </rPr>
      <t>4</t>
    </r>
  </si>
  <si>
    <t>% P</t>
  </si>
  <si>
    <r>
      <t>K NO</t>
    </r>
    <r>
      <rPr>
        <b/>
        <sz val="8"/>
        <rFont val="Arial"/>
        <family val="2"/>
      </rPr>
      <t>3</t>
    </r>
  </si>
  <si>
    <t>% K</t>
  </si>
  <si>
    <t>MKP (0 - 52 - 34)</t>
  </si>
  <si>
    <r>
      <t>K H</t>
    </r>
    <r>
      <rPr>
        <b/>
        <sz val="8"/>
        <rFont val="Arial"/>
        <family val="2"/>
      </rPr>
      <t>2</t>
    </r>
    <r>
      <rPr>
        <b/>
        <sz val="10"/>
        <rFont val="Arial"/>
        <family val="2"/>
      </rPr>
      <t xml:space="preserve"> PO</t>
    </r>
    <r>
      <rPr>
        <b/>
        <sz val="8"/>
        <rFont val="Arial"/>
        <family val="2"/>
      </rPr>
      <t>4</t>
    </r>
  </si>
  <si>
    <t>Sulfato magnésio</t>
  </si>
  <si>
    <r>
      <t>Mg SO</t>
    </r>
    <r>
      <rPr>
        <b/>
        <sz val="8"/>
        <rFont val="Arial"/>
        <family val="2"/>
      </rPr>
      <t>4</t>
    </r>
  </si>
  <si>
    <t>% Mg</t>
  </si>
  <si>
    <t>% S</t>
  </si>
  <si>
    <r>
      <t>K</t>
    </r>
    <r>
      <rPr>
        <b/>
        <sz val="8"/>
        <rFont val="Arial"/>
        <family val="2"/>
      </rPr>
      <t>2</t>
    </r>
    <r>
      <rPr>
        <b/>
        <sz val="10"/>
        <rFont val="Arial"/>
        <family val="2"/>
      </rPr>
      <t xml:space="preserve"> SO</t>
    </r>
    <r>
      <rPr>
        <b/>
        <sz val="8"/>
        <rFont val="Arial"/>
        <family val="2"/>
      </rPr>
      <t>4</t>
    </r>
  </si>
  <si>
    <t>TOTAL</t>
  </si>
  <si>
    <t>B</t>
  </si>
  <si>
    <t>Cu</t>
  </si>
  <si>
    <t>Fe</t>
  </si>
  <si>
    <t>Mn</t>
  </si>
  <si>
    <t>Mo</t>
  </si>
  <si>
    <t>Zn</t>
  </si>
  <si>
    <t>% Fe</t>
  </si>
  <si>
    <t>Sulfato cobre</t>
  </si>
  <si>
    <t>% Cu</t>
  </si>
  <si>
    <t>Sulfato manganês</t>
  </si>
  <si>
    <t>% Mn</t>
  </si>
  <si>
    <t>Sulfato zinco</t>
  </si>
  <si>
    <t>% Zn</t>
  </si>
  <si>
    <t>Ácido bórico</t>
  </si>
  <si>
    <t>% B</t>
  </si>
  <si>
    <t>Molibdato amônio</t>
  </si>
  <si>
    <t>% Mo</t>
  </si>
  <si>
    <t>Molibdato sódio</t>
  </si>
  <si>
    <t>MICRONUTRIENTES:</t>
  </si>
  <si>
    <r>
      <t xml:space="preserve">ConMicros </t>
    </r>
    <r>
      <rPr>
        <b/>
        <sz val="10"/>
        <rFont val="Arial"/>
        <family val="2"/>
      </rPr>
      <t>PREMIUM</t>
    </r>
  </si>
  <si>
    <r>
      <t xml:space="preserve">ConMicros </t>
    </r>
    <r>
      <rPr>
        <b/>
        <sz val="10"/>
        <rFont val="Arial"/>
        <family val="2"/>
      </rPr>
      <t>STANDARD</t>
    </r>
  </si>
  <si>
    <r>
      <t xml:space="preserve">ConMicros </t>
    </r>
    <r>
      <rPr>
        <b/>
        <sz val="10"/>
        <rFont val="Arial"/>
        <family val="2"/>
      </rPr>
      <t>LIGHT</t>
    </r>
  </si>
  <si>
    <t>-</t>
  </si>
  <si>
    <r>
      <t>NO</t>
    </r>
    <r>
      <rPr>
        <sz val="8"/>
        <rFont val="Arial"/>
        <family val="2"/>
      </rPr>
      <t>3</t>
    </r>
  </si>
  <si>
    <r>
      <t>NH</t>
    </r>
    <r>
      <rPr>
        <sz val="8"/>
        <rFont val="Arial"/>
        <family val="2"/>
      </rPr>
      <t>4</t>
    </r>
  </si>
  <si>
    <t>K:Ca =</t>
  </si>
  <si>
    <t>K:N =</t>
  </si>
  <si>
    <t>N:K =</t>
  </si>
  <si>
    <t>Ácido fosfórico 85%</t>
  </si>
  <si>
    <r>
      <t>H</t>
    </r>
    <r>
      <rPr>
        <b/>
        <sz val="8"/>
        <rFont val="Arial"/>
        <family val="2"/>
      </rPr>
      <t>3</t>
    </r>
    <r>
      <rPr>
        <b/>
        <sz val="10"/>
        <rFont val="Arial"/>
        <family val="2"/>
      </rPr>
      <t xml:space="preserve"> PO</t>
    </r>
    <r>
      <rPr>
        <b/>
        <sz val="8"/>
        <rFont val="Arial"/>
        <family val="2"/>
      </rPr>
      <t>4</t>
    </r>
  </si>
  <si>
    <t>Sulfato amônia</t>
  </si>
  <si>
    <r>
      <t>(NH</t>
    </r>
    <r>
      <rPr>
        <b/>
        <sz val="8"/>
        <rFont val="Arial"/>
        <family val="2"/>
      </rPr>
      <t>4</t>
    </r>
    <r>
      <rPr>
        <b/>
        <sz val="10"/>
        <rFont val="Arial"/>
        <family val="2"/>
      </rPr>
      <t>)</t>
    </r>
    <r>
      <rPr>
        <b/>
        <sz val="8"/>
        <rFont val="Arial"/>
        <family val="2"/>
      </rPr>
      <t>2</t>
    </r>
    <r>
      <rPr>
        <b/>
        <sz val="10"/>
        <rFont val="Arial"/>
        <family val="2"/>
      </rPr>
      <t xml:space="preserve"> SO</t>
    </r>
    <r>
      <rPr>
        <b/>
        <sz val="8"/>
        <rFont val="Arial"/>
        <family val="2"/>
      </rPr>
      <t>4</t>
    </r>
  </si>
  <si>
    <t>% NH4</t>
  </si>
  <si>
    <t>EC: 1,54</t>
  </si>
  <si>
    <t>ARQUIVO PARA INCLUIR TODOS ADUBOS</t>
  </si>
  <si>
    <t>Cloreto potássio</t>
  </si>
  <si>
    <t>% Cl</t>
  </si>
  <si>
    <t>Nitrato amônia</t>
  </si>
  <si>
    <r>
      <t>NO</t>
    </r>
    <r>
      <rPr>
        <b/>
        <sz val="8"/>
        <rFont val="Arial"/>
        <family val="2"/>
      </rPr>
      <t>3</t>
    </r>
    <r>
      <rPr>
        <b/>
        <sz val="10"/>
        <rFont val="Arial"/>
        <family val="2"/>
      </rPr>
      <t xml:space="preserve"> NH</t>
    </r>
    <r>
      <rPr>
        <b/>
        <sz val="8"/>
        <rFont val="Arial"/>
        <family val="2"/>
      </rPr>
      <t>4</t>
    </r>
  </si>
  <si>
    <r>
      <t>Mg NO</t>
    </r>
    <r>
      <rPr>
        <b/>
        <sz val="8"/>
        <rFont val="Arial"/>
        <family val="2"/>
      </rPr>
      <t>3</t>
    </r>
  </si>
  <si>
    <t>Nitrato K = Krista K</t>
  </si>
  <si>
    <t>Nitrat cálcio = Calcinit</t>
  </si>
  <si>
    <t>Sulf K = Krista SOP</t>
  </si>
  <si>
    <t>Nitr Mg = Krista MAG</t>
  </si>
  <si>
    <t>Cl</t>
  </si>
  <si>
    <t>K Cl</t>
  </si>
  <si>
    <t>Naturquel</t>
  </si>
  <si>
    <t>EDDHA</t>
  </si>
  <si>
    <t>Qualquer</t>
  </si>
  <si>
    <t>Ferro 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</si>
</sst>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FF0000"/>
      <name val="Arial"/>
      <family val="2"/>
    </font>
    <font>
      <b/>
      <sz val="10"/>
      <color rgb="FFDD080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55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left"/>
    </xf>
    <xf numFmtId="164" fontId="1" fillId="0" borderId="6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0" fillId="0" borderId="7" xfId="0" applyBorder="1"/>
    <xf numFmtId="0" fontId="1" fillId="0" borderId="9" xfId="0" applyFon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2" fillId="0" borderId="7" xfId="0" applyFont="1" applyBorder="1" applyAlignment="1">
      <alignment horizontal="left"/>
    </xf>
    <xf numFmtId="0" fontId="0" fillId="0" borderId="12" xfId="0" applyBorder="1"/>
    <xf numFmtId="0" fontId="2" fillId="0" borderId="12" xfId="0" applyFont="1" applyBorder="1" applyAlignment="1">
      <alignment horizontal="left"/>
    </xf>
    <xf numFmtId="164" fontId="1" fillId="0" borderId="12" xfId="0" applyNumberFormat="1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7" fillId="0" borderId="7" xfId="0" applyFont="1" applyBorder="1"/>
    <xf numFmtId="0" fontId="6" fillId="0" borderId="0" xfId="0" applyFont="1"/>
    <xf numFmtId="0" fontId="7" fillId="0" borderId="0" xfId="0" applyFont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2" fillId="0" borderId="1" xfId="0" applyFont="1" applyBorder="1"/>
    <xf numFmtId="0" fontId="0" fillId="0" borderId="14" xfId="0" applyBorder="1" applyAlignment="1">
      <alignment horizontal="center"/>
    </xf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left"/>
    </xf>
    <xf numFmtId="165" fontId="1" fillId="0" borderId="12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164" fontId="1" fillId="2" borderId="14" xfId="0" applyNumberFormat="1" applyFont="1" applyFill="1" applyBorder="1" applyAlignment="1">
      <alignment horizontal="center"/>
    </xf>
    <xf numFmtId="164" fontId="1" fillId="2" borderId="15" xfId="0" applyNumberFormat="1" applyFont="1" applyFill="1" applyBorder="1" applyAlignment="1">
      <alignment horizontal="center"/>
    </xf>
    <xf numFmtId="165" fontId="1" fillId="0" borderId="15" xfId="0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/>
    </xf>
    <xf numFmtId="0" fontId="1" fillId="0" borderId="12" xfId="0" applyFont="1" applyBorder="1" applyAlignment="1">
      <alignment horizontal="center"/>
    </xf>
    <xf numFmtId="0" fontId="0" fillId="0" borderId="6" xfId="0" applyBorder="1" applyAlignment="1">
      <alignment horizontal="left"/>
    </xf>
    <xf numFmtId="165" fontId="1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2" xfId="0" applyFont="1" applyBorder="1"/>
    <xf numFmtId="0" fontId="0" fillId="0" borderId="6" xfId="0" applyBorder="1"/>
    <xf numFmtId="165" fontId="0" fillId="0" borderId="12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left"/>
    </xf>
    <xf numFmtId="164" fontId="1" fillId="2" borderId="4" xfId="0" applyNumberFormat="1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horizontal="center"/>
    </xf>
    <xf numFmtId="164" fontId="1" fillId="3" borderId="14" xfId="0" applyNumberFormat="1" applyFont="1" applyFill="1" applyBorder="1" applyAlignment="1">
      <alignment horizontal="center"/>
    </xf>
    <xf numFmtId="0" fontId="6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/>
  </cellXfs>
  <cellStyles count="55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49" builtinId="8" hidden="1"/>
    <cellStyle name="Hiperlink" xfId="51" builtinId="8" hidden="1"/>
    <cellStyle name="Hiperlink" xfId="53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selection activeCell="A48" sqref="A48"/>
    </sheetView>
  </sheetViews>
  <sheetFormatPr baseColWidth="10" defaultColWidth="8.83203125" defaultRowHeight="13" x14ac:dyDescent="0.15"/>
  <cols>
    <col min="1" max="1" width="17.33203125" customWidth="1"/>
    <col min="2" max="2" width="12.5" style="1" customWidth="1"/>
    <col min="3" max="3" width="8.83203125" style="1"/>
    <col min="4" max="4" width="6.6640625" style="1" customWidth="1"/>
    <col min="5" max="11" width="5.6640625" style="1" customWidth="1"/>
    <col min="12" max="12" width="5.6640625" customWidth="1"/>
  </cols>
  <sheetData>
    <row r="1" spans="1:12" x14ac:dyDescent="0.15">
      <c r="A1" s="2"/>
      <c r="D1" s="63" t="s">
        <v>60</v>
      </c>
      <c r="G1" s="3"/>
    </row>
    <row r="2" spans="1:12" x14ac:dyDescent="0.15">
      <c r="D2" s="62"/>
    </row>
    <row r="3" spans="1:12" x14ac:dyDescent="0.15">
      <c r="A3" s="4" t="s">
        <v>0</v>
      </c>
      <c r="B3" s="4" t="s">
        <v>1</v>
      </c>
      <c r="C3" s="4" t="s">
        <v>2</v>
      </c>
      <c r="D3" s="4" t="s">
        <v>3</v>
      </c>
      <c r="E3" s="26" t="s">
        <v>49</v>
      </c>
      <c r="F3" s="26" t="s">
        <v>50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70</v>
      </c>
    </row>
    <row r="4" spans="1:12" ht="14" thickBot="1" x14ac:dyDescent="0.2">
      <c r="A4" s="65" t="s">
        <v>67</v>
      </c>
      <c r="B4" s="5" t="s">
        <v>9</v>
      </c>
      <c r="C4" s="58">
        <v>480</v>
      </c>
      <c r="D4" s="6">
        <f>SUM(E4:F4)</f>
        <v>74.399999999999991</v>
      </c>
      <c r="E4" s="7">
        <f>+(C4*A6)/100</f>
        <v>69.599999999999994</v>
      </c>
      <c r="F4" s="7">
        <f>+(C4*A7)/100</f>
        <v>4.8</v>
      </c>
      <c r="G4" s="7"/>
      <c r="H4" s="7"/>
      <c r="I4" s="7">
        <f>+(C4*A5)/100</f>
        <v>91.2</v>
      </c>
      <c r="J4" s="7"/>
      <c r="K4" s="7"/>
      <c r="L4" s="7"/>
    </row>
    <row r="5" spans="1:12" x14ac:dyDescent="0.15">
      <c r="A5" s="8">
        <v>19</v>
      </c>
      <c r="B5" s="9" t="s">
        <v>10</v>
      </c>
      <c r="C5" s="10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15">
      <c r="A6" s="8">
        <v>14.5</v>
      </c>
      <c r="B6" s="9" t="s">
        <v>11</v>
      </c>
      <c r="C6" s="12"/>
      <c r="D6" s="11"/>
      <c r="E6" s="11"/>
      <c r="F6" s="11"/>
      <c r="G6" s="11"/>
      <c r="H6" s="11"/>
      <c r="I6" s="11"/>
      <c r="J6" s="11"/>
      <c r="K6" s="11"/>
      <c r="L6" s="11"/>
    </row>
    <row r="7" spans="1:12" ht="14" thickBot="1" x14ac:dyDescent="0.2">
      <c r="A7" s="8">
        <v>1</v>
      </c>
      <c r="B7" s="9" t="s">
        <v>12</v>
      </c>
      <c r="C7" s="13"/>
      <c r="D7" s="11"/>
      <c r="E7" s="11"/>
      <c r="F7" s="11"/>
      <c r="G7" s="11"/>
      <c r="H7" s="11"/>
      <c r="I7" s="11"/>
      <c r="J7" s="11"/>
      <c r="K7" s="11"/>
      <c r="L7" s="11"/>
    </row>
    <row r="8" spans="1:12" ht="14" thickBot="1" x14ac:dyDescent="0.2">
      <c r="A8" s="14" t="s">
        <v>13</v>
      </c>
      <c r="B8" s="15" t="s">
        <v>14</v>
      </c>
      <c r="C8" s="59">
        <v>0</v>
      </c>
      <c r="D8" s="16">
        <f>+F8</f>
        <v>0</v>
      </c>
      <c r="E8" s="11"/>
      <c r="F8" s="11">
        <f>+(C8*A9)/100</f>
        <v>0</v>
      </c>
      <c r="G8" s="11">
        <f>+(C8*A10)/100</f>
        <v>0</v>
      </c>
      <c r="H8" s="11"/>
      <c r="I8" s="11"/>
      <c r="J8" s="11"/>
      <c r="K8" s="11"/>
      <c r="L8" s="11"/>
    </row>
    <row r="9" spans="1:12" x14ac:dyDescent="0.15">
      <c r="A9" s="8">
        <v>11</v>
      </c>
      <c r="B9" s="9" t="s">
        <v>12</v>
      </c>
      <c r="C9" s="10"/>
      <c r="D9" s="11"/>
      <c r="E9" s="11"/>
      <c r="F9" s="11"/>
      <c r="G9" s="11"/>
      <c r="H9" s="11"/>
      <c r="I9" s="11"/>
      <c r="J9" s="11"/>
      <c r="K9" s="11"/>
      <c r="L9" s="11"/>
    </row>
    <row r="10" spans="1:12" ht="14" thickBot="1" x14ac:dyDescent="0.2">
      <c r="A10" s="8">
        <v>26</v>
      </c>
      <c r="B10" s="9" t="s">
        <v>15</v>
      </c>
      <c r="C10" s="13"/>
      <c r="D10" s="11"/>
      <c r="E10" s="11"/>
      <c r="F10" s="11"/>
      <c r="G10" s="11"/>
      <c r="H10" s="11"/>
      <c r="I10" s="11"/>
      <c r="J10" s="11"/>
      <c r="K10" s="11"/>
      <c r="L10" s="11"/>
    </row>
    <row r="11" spans="1:12" ht="14" thickBot="1" x14ac:dyDescent="0.2">
      <c r="A11" s="9" t="s">
        <v>66</v>
      </c>
      <c r="B11" s="15" t="s">
        <v>16</v>
      </c>
      <c r="C11" s="59">
        <v>0</v>
      </c>
      <c r="D11" s="16">
        <f>+E11</f>
        <v>0</v>
      </c>
      <c r="E11" s="11">
        <f>+(C11*A13)/100</f>
        <v>0</v>
      </c>
      <c r="F11" s="11"/>
      <c r="G11" s="11"/>
      <c r="H11" s="11">
        <f>+(C11*A12)/100</f>
        <v>0</v>
      </c>
      <c r="I11" s="11"/>
      <c r="J11" s="11"/>
      <c r="K11" s="11"/>
      <c r="L11" s="11"/>
    </row>
    <row r="12" spans="1:12" x14ac:dyDescent="0.15">
      <c r="A12" s="17">
        <v>36.5</v>
      </c>
      <c r="B12" s="18" t="s">
        <v>17</v>
      </c>
      <c r="C12" s="10"/>
      <c r="D12" s="11"/>
      <c r="E12" s="11"/>
      <c r="F12" s="11"/>
      <c r="G12" s="11"/>
      <c r="H12" s="11"/>
      <c r="I12" s="11"/>
      <c r="J12" s="11"/>
      <c r="K12" s="11"/>
      <c r="L12" s="11"/>
    </row>
    <row r="13" spans="1:12" ht="14" thickBot="1" x14ac:dyDescent="0.2">
      <c r="A13" s="8">
        <v>13</v>
      </c>
      <c r="B13" s="18" t="s">
        <v>11</v>
      </c>
      <c r="C13" s="13"/>
      <c r="D13" s="11"/>
      <c r="E13" s="11"/>
      <c r="F13" s="11"/>
      <c r="G13" s="11"/>
      <c r="H13" s="11"/>
      <c r="I13" s="11"/>
      <c r="J13" s="11"/>
      <c r="K13" s="11"/>
      <c r="L13" s="11"/>
    </row>
    <row r="14" spans="1:12" ht="14" thickBot="1" x14ac:dyDescent="0.2">
      <c r="A14" s="14" t="s">
        <v>18</v>
      </c>
      <c r="B14" s="15" t="s">
        <v>19</v>
      </c>
      <c r="C14" s="59">
        <v>0</v>
      </c>
      <c r="D14" s="16"/>
      <c r="E14" s="11"/>
      <c r="F14" s="11"/>
      <c r="G14" s="11">
        <f>+(C14*A16)/100</f>
        <v>0</v>
      </c>
      <c r="H14" s="11">
        <f>+(C14*A15)/100</f>
        <v>0</v>
      </c>
      <c r="I14" s="11"/>
      <c r="J14" s="11"/>
      <c r="K14" s="11"/>
      <c r="L14" s="11"/>
    </row>
    <row r="15" spans="1:12" x14ac:dyDescent="0.15">
      <c r="A15" s="8">
        <v>29</v>
      </c>
      <c r="B15" s="9" t="s">
        <v>17</v>
      </c>
      <c r="C15" s="10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14" thickBot="1" x14ac:dyDescent="0.2">
      <c r="A16" s="8">
        <v>23</v>
      </c>
      <c r="B16" s="9" t="s">
        <v>15</v>
      </c>
      <c r="C16" s="13"/>
      <c r="D16" s="11"/>
      <c r="E16" s="11"/>
      <c r="F16" s="11"/>
      <c r="G16" s="11"/>
      <c r="H16" s="11"/>
      <c r="I16" s="11"/>
      <c r="J16" s="11"/>
      <c r="K16" s="11"/>
      <c r="L16" s="11"/>
    </row>
    <row r="17" spans="1:12" ht="14" thickBot="1" x14ac:dyDescent="0.2">
      <c r="A17" s="14" t="s">
        <v>20</v>
      </c>
      <c r="B17" s="15" t="s">
        <v>21</v>
      </c>
      <c r="C17" s="59">
        <v>0</v>
      </c>
      <c r="D17" s="16"/>
      <c r="E17" s="11"/>
      <c r="F17" s="11"/>
      <c r="G17" s="11"/>
      <c r="H17" s="11"/>
      <c r="I17" s="11"/>
      <c r="J17" s="11">
        <f>+(C17*A18)/100</f>
        <v>0</v>
      </c>
      <c r="K17" s="11">
        <f>+(C17*A19)/100</f>
        <v>0</v>
      </c>
      <c r="L17" s="11"/>
    </row>
    <row r="18" spans="1:12" x14ac:dyDescent="0.15">
      <c r="A18" s="14">
        <v>9</v>
      </c>
      <c r="B18" s="9" t="s">
        <v>22</v>
      </c>
      <c r="C18" s="10"/>
      <c r="D18" s="11"/>
      <c r="E18" s="11"/>
      <c r="F18" s="11"/>
      <c r="G18" s="11"/>
      <c r="H18" s="11"/>
      <c r="I18" s="11"/>
      <c r="J18" s="11"/>
      <c r="K18" s="11"/>
      <c r="L18" s="11"/>
    </row>
    <row r="19" spans="1:12" ht="14" thickBot="1" x14ac:dyDescent="0.2">
      <c r="A19" s="14">
        <v>11</v>
      </c>
      <c r="B19" s="9" t="s">
        <v>23</v>
      </c>
      <c r="C19" s="13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14" thickBot="1" x14ac:dyDescent="0.2">
      <c r="A20" s="14" t="s">
        <v>69</v>
      </c>
      <c r="B20" s="64" t="s">
        <v>65</v>
      </c>
      <c r="C20" s="59">
        <v>0</v>
      </c>
      <c r="D20" s="16">
        <f>+E20</f>
        <v>0</v>
      </c>
      <c r="E20" s="11">
        <f>+(C20*A22)/100</f>
        <v>0</v>
      </c>
      <c r="F20" s="11"/>
      <c r="G20" s="11"/>
      <c r="H20" s="11"/>
      <c r="I20" s="11"/>
      <c r="J20" s="11">
        <f>+(C20*A21)/100</f>
        <v>0</v>
      </c>
      <c r="K20" s="11"/>
      <c r="L20" s="11"/>
    </row>
    <row r="21" spans="1:12" x14ac:dyDescent="0.15">
      <c r="A21" s="14">
        <v>10.725</v>
      </c>
      <c r="B21" s="9" t="s">
        <v>22</v>
      </c>
      <c r="C21" s="10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14" thickBot="1" x14ac:dyDescent="0.2">
      <c r="A22" s="14">
        <v>10</v>
      </c>
      <c r="B22" s="9" t="s">
        <v>11</v>
      </c>
      <c r="C22" s="13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14" thickBot="1" x14ac:dyDescent="0.2">
      <c r="A23" s="14" t="s">
        <v>68</v>
      </c>
      <c r="B23" s="15" t="s">
        <v>24</v>
      </c>
      <c r="C23" s="59">
        <v>0</v>
      </c>
      <c r="D23" s="16"/>
      <c r="E23" s="11"/>
      <c r="F23" s="11"/>
      <c r="G23" s="11"/>
      <c r="H23" s="11">
        <f>+(C23*A24)/100</f>
        <v>0</v>
      </c>
      <c r="I23" s="11"/>
      <c r="J23" s="11"/>
      <c r="K23" s="11">
        <f>+(C23*A25)/100</f>
        <v>0</v>
      </c>
      <c r="L23" s="11"/>
    </row>
    <row r="24" spans="1:12" x14ac:dyDescent="0.15">
      <c r="A24" s="14">
        <v>41</v>
      </c>
      <c r="B24" s="9" t="s">
        <v>17</v>
      </c>
      <c r="C24" s="10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4" thickBot="1" x14ac:dyDescent="0.2">
      <c r="A25" s="14">
        <v>17</v>
      </c>
      <c r="B25" s="9" t="s">
        <v>23</v>
      </c>
      <c r="C25" s="13"/>
      <c r="D25" s="11"/>
      <c r="E25" s="11"/>
      <c r="F25" s="11"/>
      <c r="G25" s="11"/>
      <c r="H25" s="11"/>
      <c r="I25" s="11"/>
      <c r="J25" s="11"/>
      <c r="K25" s="11"/>
      <c r="L25" s="11"/>
    </row>
    <row r="26" spans="1:12" ht="14" thickBot="1" x14ac:dyDescent="0.2">
      <c r="A26" s="14" t="s">
        <v>61</v>
      </c>
      <c r="B26" s="25" t="s">
        <v>71</v>
      </c>
      <c r="C26" s="59">
        <v>100</v>
      </c>
      <c r="D26" s="16"/>
      <c r="E26" s="11"/>
      <c r="F26" s="11"/>
      <c r="G26" s="11"/>
      <c r="H26" s="11">
        <f>+(C26*A27)/100</f>
        <v>52</v>
      </c>
      <c r="I26" s="11"/>
      <c r="J26" s="11"/>
      <c r="K26" s="11"/>
      <c r="L26" s="11">
        <f>+(C26*A28)/100</f>
        <v>47</v>
      </c>
    </row>
    <row r="27" spans="1:12" x14ac:dyDescent="0.15">
      <c r="A27" s="14">
        <v>52</v>
      </c>
      <c r="B27" s="9" t="s">
        <v>17</v>
      </c>
      <c r="C27" s="10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4" thickBot="1" x14ac:dyDescent="0.2">
      <c r="A28" s="14">
        <v>47</v>
      </c>
      <c r="B28" s="9" t="s">
        <v>62</v>
      </c>
      <c r="C28" s="13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4" thickBot="1" x14ac:dyDescent="0.2">
      <c r="A29" s="14" t="s">
        <v>54</v>
      </c>
      <c r="B29" s="15" t="s">
        <v>55</v>
      </c>
      <c r="C29" s="59">
        <v>0</v>
      </c>
      <c r="D29" s="16"/>
      <c r="E29" s="11"/>
      <c r="F29" s="11"/>
      <c r="G29" s="11">
        <f>+(C29*A30)/100</f>
        <v>0</v>
      </c>
      <c r="H29" s="11"/>
      <c r="I29" s="11"/>
      <c r="J29" s="11"/>
      <c r="K29" s="11"/>
      <c r="L29" s="11"/>
    </row>
    <row r="30" spans="1:12" ht="14" thickBot="1" x14ac:dyDescent="0.2">
      <c r="A30" s="14">
        <v>27</v>
      </c>
      <c r="B30" s="9" t="s">
        <v>15</v>
      </c>
      <c r="C30" s="10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14" thickBot="1" x14ac:dyDescent="0.2">
      <c r="A31" s="14" t="s">
        <v>63</v>
      </c>
      <c r="B31" s="64" t="s">
        <v>64</v>
      </c>
      <c r="C31" s="59">
        <v>0</v>
      </c>
      <c r="D31" s="16">
        <f>SUM(E31:F31)</f>
        <v>0</v>
      </c>
      <c r="E31" s="11">
        <f>+(C31*A32)/100</f>
        <v>0</v>
      </c>
      <c r="F31" s="11">
        <f>+(C31*A33)/100</f>
        <v>0</v>
      </c>
      <c r="G31" s="11"/>
      <c r="H31" s="11"/>
      <c r="I31" s="11"/>
      <c r="J31" s="11"/>
      <c r="K31" s="11"/>
      <c r="L31" s="11"/>
    </row>
    <row r="32" spans="1:12" x14ac:dyDescent="0.15">
      <c r="A32" s="14">
        <v>15.5</v>
      </c>
      <c r="B32" s="18" t="s">
        <v>11</v>
      </c>
      <c r="C32" s="10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14" thickBot="1" x14ac:dyDescent="0.2">
      <c r="A33" s="14">
        <v>15.5</v>
      </c>
      <c r="B33" s="9" t="s">
        <v>58</v>
      </c>
      <c r="C33" s="13"/>
      <c r="D33" s="11"/>
      <c r="E33" s="11"/>
      <c r="F33" s="11"/>
      <c r="G33" s="11"/>
      <c r="H33" s="11"/>
      <c r="I33" s="11"/>
      <c r="J33" s="11"/>
      <c r="K33" s="11"/>
      <c r="L33" s="11"/>
    </row>
    <row r="34" spans="1:12" ht="14" thickBot="1" x14ac:dyDescent="0.2">
      <c r="A34" s="54" t="s">
        <v>56</v>
      </c>
      <c r="B34" s="5" t="s">
        <v>57</v>
      </c>
      <c r="C34" s="59">
        <v>0</v>
      </c>
      <c r="D34" s="6">
        <f>SUM(E34:F34)</f>
        <v>0</v>
      </c>
      <c r="E34" s="7"/>
      <c r="F34" s="7">
        <f>+(C34*A35)/100</f>
        <v>0</v>
      </c>
      <c r="G34" s="7"/>
      <c r="H34" s="7"/>
      <c r="I34" s="7"/>
      <c r="J34" s="7"/>
      <c r="K34" s="7">
        <f>+(C34*A36)/100</f>
        <v>0</v>
      </c>
      <c r="L34" s="7"/>
    </row>
    <row r="35" spans="1:12" x14ac:dyDescent="0.15">
      <c r="A35" s="14">
        <v>21</v>
      </c>
      <c r="B35" s="9" t="s">
        <v>58</v>
      </c>
      <c r="C35" s="10"/>
      <c r="D35" s="11"/>
      <c r="E35" s="11"/>
      <c r="F35" s="11"/>
      <c r="G35" s="11"/>
      <c r="H35" s="11"/>
      <c r="I35" s="11"/>
      <c r="J35" s="11"/>
      <c r="K35" s="11"/>
      <c r="L35" s="11"/>
    </row>
    <row r="36" spans="1:12" x14ac:dyDescent="0.15">
      <c r="A36" s="19">
        <v>23</v>
      </c>
      <c r="B36" s="41" t="s">
        <v>23</v>
      </c>
      <c r="C36" s="21"/>
      <c r="D36" s="22"/>
      <c r="E36" s="22"/>
      <c r="F36" s="22"/>
      <c r="G36" s="22"/>
      <c r="H36" s="22"/>
      <c r="I36" s="22"/>
      <c r="J36" s="22"/>
      <c r="K36" s="22"/>
      <c r="L36" s="22"/>
    </row>
    <row r="37" spans="1:12" x14ac:dyDescent="0.15">
      <c r="A37" s="23"/>
      <c r="B37" s="23" t="s">
        <v>59</v>
      </c>
      <c r="C37" s="24">
        <f t="shared" ref="C37:K37" si="0">SUM(C4:C36)</f>
        <v>580</v>
      </c>
      <c r="D37" s="60">
        <f t="shared" si="0"/>
        <v>74.399999999999991</v>
      </c>
      <c r="E37" s="60">
        <f t="shared" si="0"/>
        <v>69.599999999999994</v>
      </c>
      <c r="F37" s="60">
        <f t="shared" si="0"/>
        <v>4.8</v>
      </c>
      <c r="G37" s="60">
        <f t="shared" si="0"/>
        <v>0</v>
      </c>
      <c r="H37" s="60">
        <f t="shared" si="0"/>
        <v>52</v>
      </c>
      <c r="I37" s="60">
        <f t="shared" si="0"/>
        <v>91.2</v>
      </c>
      <c r="J37" s="60">
        <f t="shared" si="0"/>
        <v>0</v>
      </c>
      <c r="K37" s="60">
        <f t="shared" si="0"/>
        <v>0</v>
      </c>
      <c r="L37" s="60">
        <f t="shared" ref="L37" si="1">SUM(L4:L36)</f>
        <v>47</v>
      </c>
    </row>
    <row r="38" spans="1:12" x14ac:dyDescent="0.15">
      <c r="A38" s="56" t="s">
        <v>51</v>
      </c>
      <c r="B38" s="57">
        <f>+H37/I37</f>
        <v>0.57017543859649122</v>
      </c>
      <c r="C38" s="25"/>
      <c r="D38" s="26" t="s">
        <v>3</v>
      </c>
      <c r="E38" s="26" t="s">
        <v>49</v>
      </c>
      <c r="F38" s="26" t="s">
        <v>50</v>
      </c>
      <c r="G38" s="26" t="s">
        <v>4</v>
      </c>
      <c r="H38" s="26" t="s">
        <v>5</v>
      </c>
      <c r="I38" s="26" t="s">
        <v>6</v>
      </c>
      <c r="J38" s="26" t="s">
        <v>7</v>
      </c>
      <c r="K38" s="26" t="s">
        <v>8</v>
      </c>
      <c r="L38" s="4" t="s">
        <v>70</v>
      </c>
    </row>
    <row r="39" spans="1:12" x14ac:dyDescent="0.15">
      <c r="A39" s="56" t="s">
        <v>52</v>
      </c>
      <c r="B39" s="57">
        <f>+H37/D37</f>
        <v>0.69892473118279574</v>
      </c>
      <c r="C39" s="61"/>
      <c r="D39" s="27"/>
      <c r="E39" s="27"/>
      <c r="F39" s="27"/>
      <c r="G39" s="27"/>
      <c r="H39" s="27"/>
      <c r="I39" s="27"/>
      <c r="J39" s="28"/>
      <c r="K39" s="27"/>
    </row>
    <row r="40" spans="1:12" x14ac:dyDescent="0.15">
      <c r="A40" s="56" t="s">
        <v>53</v>
      </c>
      <c r="B40" s="57">
        <f>+D37/H37</f>
        <v>1.4307692307692306</v>
      </c>
      <c r="C40" s="25"/>
      <c r="D40" s="25"/>
      <c r="E40" s="25"/>
      <c r="F40" s="25"/>
      <c r="G40" s="25"/>
      <c r="H40" s="25"/>
      <c r="I40" s="25"/>
      <c r="J40" s="25"/>
      <c r="K40" s="25"/>
    </row>
    <row r="41" spans="1:12" x14ac:dyDescent="0.15">
      <c r="A41" s="34" t="s">
        <v>44</v>
      </c>
      <c r="B41" s="4"/>
      <c r="C41" s="4"/>
      <c r="D41" s="4"/>
      <c r="E41" s="35" t="s">
        <v>26</v>
      </c>
      <c r="F41" s="35" t="s">
        <v>27</v>
      </c>
      <c r="G41" s="35" t="s">
        <v>28</v>
      </c>
      <c r="H41" s="35" t="s">
        <v>29</v>
      </c>
      <c r="I41" s="35" t="s">
        <v>30</v>
      </c>
      <c r="J41" s="35" t="s">
        <v>31</v>
      </c>
    </row>
    <row r="42" spans="1:12" x14ac:dyDescent="0.15">
      <c r="A42" s="36" t="s">
        <v>45</v>
      </c>
      <c r="B42" s="35"/>
      <c r="C42" s="44">
        <v>0</v>
      </c>
      <c r="D42" s="35"/>
      <c r="E42" s="35">
        <f>+C42*1.1/100</f>
        <v>0</v>
      </c>
      <c r="F42" s="35">
        <f>+C42*1.1/100</f>
        <v>0</v>
      </c>
      <c r="G42" s="35">
        <f>+C42*4.4/100</f>
        <v>0</v>
      </c>
      <c r="H42" s="35">
        <f>+C42*1.1/100</f>
        <v>0</v>
      </c>
      <c r="I42" s="35">
        <f>+C42*0.22/100</f>
        <v>0</v>
      </c>
      <c r="J42" s="35">
        <f>+C42*0.44/100</f>
        <v>0</v>
      </c>
    </row>
    <row r="43" spans="1:12" x14ac:dyDescent="0.15">
      <c r="A43" s="36" t="s">
        <v>46</v>
      </c>
      <c r="B43" s="35"/>
      <c r="C43" s="44">
        <v>0</v>
      </c>
      <c r="D43" s="35"/>
      <c r="E43" s="35">
        <f>+C43*1.82/100</f>
        <v>0</v>
      </c>
      <c r="F43" s="35">
        <f>+C43*1.82/100</f>
        <v>0</v>
      </c>
      <c r="G43" s="35">
        <f>+C43*7.9/100</f>
        <v>0</v>
      </c>
      <c r="H43" s="35">
        <f>+C43*1.82/100</f>
        <v>0</v>
      </c>
      <c r="I43" s="35">
        <f>+C43*0.36/100</f>
        <v>0</v>
      </c>
      <c r="J43" s="35">
        <f>+C43*0.73/100</f>
        <v>0</v>
      </c>
    </row>
    <row r="44" spans="1:12" x14ac:dyDescent="0.15">
      <c r="A44" s="36" t="s">
        <v>47</v>
      </c>
      <c r="B44" s="35"/>
      <c r="C44" s="44">
        <v>13</v>
      </c>
      <c r="D44" s="35"/>
      <c r="E44" s="35">
        <f>+C44*4.11/100</f>
        <v>0.53430000000000011</v>
      </c>
      <c r="F44" s="35">
        <f>+C44*4.09/100</f>
        <v>0.53170000000000006</v>
      </c>
      <c r="G44" s="37" t="s">
        <v>48</v>
      </c>
      <c r="H44" s="35">
        <f>+C44*4.09/100</f>
        <v>0.53170000000000006</v>
      </c>
      <c r="I44" s="35">
        <f>+C44*0.92/100</f>
        <v>0.11960000000000001</v>
      </c>
      <c r="J44" s="35">
        <f>+C44*1.6/100</f>
        <v>0.20800000000000002</v>
      </c>
    </row>
    <row r="45" spans="1:12" x14ac:dyDescent="0.15">
      <c r="A45" s="38" t="s">
        <v>72</v>
      </c>
      <c r="B45" s="39" t="s">
        <v>73</v>
      </c>
      <c r="C45" s="45">
        <v>38</v>
      </c>
      <c r="D45" s="40"/>
      <c r="E45" s="40"/>
      <c r="F45" s="40"/>
      <c r="G45" s="40">
        <f>+C45*A46/100</f>
        <v>2.2799999999999998</v>
      </c>
      <c r="H45" s="40"/>
      <c r="I45" s="40"/>
      <c r="J45" s="40"/>
    </row>
    <row r="46" spans="1:12" x14ac:dyDescent="0.15">
      <c r="A46" s="19">
        <v>6</v>
      </c>
      <c r="B46" s="41" t="s">
        <v>32</v>
      </c>
      <c r="C46" s="42"/>
      <c r="D46" s="43"/>
      <c r="E46" s="43"/>
      <c r="F46" s="43"/>
      <c r="G46" s="43"/>
      <c r="H46" s="43"/>
      <c r="I46" s="43"/>
      <c r="J46" s="43"/>
    </row>
    <row r="47" spans="1:12" x14ac:dyDescent="0.15">
      <c r="A47" s="38" t="s">
        <v>75</v>
      </c>
      <c r="B47" s="39" t="s">
        <v>74</v>
      </c>
      <c r="C47" s="45">
        <v>0</v>
      </c>
      <c r="D47" s="40"/>
      <c r="E47" s="40"/>
      <c r="F47" s="40"/>
      <c r="G47" s="40">
        <f>+C47*A48/100</f>
        <v>0</v>
      </c>
      <c r="H47" s="40"/>
      <c r="I47" s="40"/>
      <c r="J47" s="40"/>
    </row>
    <row r="48" spans="1:12" x14ac:dyDescent="0.15">
      <c r="A48" s="19">
        <v>6</v>
      </c>
      <c r="B48" s="41" t="s">
        <v>32</v>
      </c>
      <c r="C48" s="42"/>
      <c r="D48" s="43"/>
      <c r="E48" s="43"/>
      <c r="F48" s="43"/>
      <c r="G48" s="43"/>
      <c r="H48" s="43"/>
      <c r="I48" s="43"/>
      <c r="J48" s="43"/>
    </row>
    <row r="49" spans="1:11" x14ac:dyDescent="0.15">
      <c r="A49" s="47" t="s">
        <v>33</v>
      </c>
      <c r="B49" s="48"/>
      <c r="C49" s="46">
        <v>0</v>
      </c>
      <c r="D49" s="40"/>
      <c r="E49" s="40"/>
      <c r="F49" s="40">
        <f>+C49*A50/100</f>
        <v>0</v>
      </c>
      <c r="G49" s="40"/>
      <c r="H49" s="40"/>
      <c r="I49" s="40"/>
      <c r="J49" s="40"/>
    </row>
    <row r="50" spans="1:11" x14ac:dyDescent="0.15">
      <c r="A50" s="53">
        <v>25</v>
      </c>
      <c r="B50" s="20" t="s">
        <v>34</v>
      </c>
      <c r="C50" s="42"/>
      <c r="D50" s="43"/>
      <c r="E50" s="43"/>
      <c r="F50" s="43"/>
      <c r="G50" s="43"/>
      <c r="H50" s="43"/>
      <c r="I50" s="43"/>
      <c r="J50" s="43"/>
    </row>
    <row r="51" spans="1:11" x14ac:dyDescent="0.15">
      <c r="A51" s="38" t="s">
        <v>35</v>
      </c>
      <c r="B51" s="48"/>
      <c r="C51" s="46">
        <v>0</v>
      </c>
      <c r="D51" s="40"/>
      <c r="E51" s="40"/>
      <c r="F51" s="40"/>
      <c r="G51" s="40"/>
      <c r="H51" s="40">
        <f>+C51*A52/100</f>
        <v>0</v>
      </c>
      <c r="I51" s="40"/>
      <c r="J51" s="40"/>
    </row>
    <row r="52" spans="1:11" x14ac:dyDescent="0.15">
      <c r="A52" s="53">
        <v>32</v>
      </c>
      <c r="B52" s="20" t="s">
        <v>36</v>
      </c>
      <c r="C52" s="42"/>
      <c r="D52" s="43"/>
      <c r="E52" s="43"/>
      <c r="F52" s="43"/>
      <c r="G52" s="43"/>
      <c r="H52" s="43"/>
      <c r="I52" s="43"/>
      <c r="J52" s="43"/>
    </row>
    <row r="53" spans="1:11" x14ac:dyDescent="0.15">
      <c r="A53" s="47" t="s">
        <v>37</v>
      </c>
      <c r="B53" s="48"/>
      <c r="C53" s="46">
        <v>0</v>
      </c>
      <c r="D53" s="40"/>
      <c r="E53" s="40"/>
      <c r="F53" s="40"/>
      <c r="G53" s="40"/>
      <c r="H53" s="40"/>
      <c r="I53" s="40"/>
      <c r="J53" s="40">
        <f>+C53*A54/100</f>
        <v>0</v>
      </c>
    </row>
    <row r="54" spans="1:11" x14ac:dyDescent="0.15">
      <c r="A54" s="19">
        <v>22</v>
      </c>
      <c r="B54" s="41" t="s">
        <v>38</v>
      </c>
      <c r="C54" s="42"/>
      <c r="D54" s="43"/>
      <c r="E54" s="43"/>
      <c r="F54" s="43"/>
      <c r="G54" s="43"/>
      <c r="H54" s="43"/>
      <c r="I54" s="43"/>
      <c r="J54" s="43"/>
    </row>
    <row r="55" spans="1:11" x14ac:dyDescent="0.15">
      <c r="A55" s="47" t="s">
        <v>39</v>
      </c>
      <c r="B55" s="48"/>
      <c r="C55" s="46">
        <v>0</v>
      </c>
      <c r="D55" s="40"/>
      <c r="E55" s="40">
        <f>+C55*A56/100</f>
        <v>0</v>
      </c>
      <c r="F55" s="40"/>
      <c r="G55" s="40"/>
      <c r="H55" s="40"/>
      <c r="I55" s="40"/>
      <c r="J55" s="40"/>
    </row>
    <row r="56" spans="1:11" x14ac:dyDescent="0.15">
      <c r="A56" s="19">
        <v>17</v>
      </c>
      <c r="B56" s="41" t="s">
        <v>40</v>
      </c>
      <c r="C56" s="42"/>
      <c r="D56" s="43"/>
      <c r="E56" s="43"/>
      <c r="F56" s="43"/>
      <c r="G56" s="43"/>
      <c r="H56" s="43"/>
      <c r="I56" s="43"/>
      <c r="J56" s="43"/>
    </row>
    <row r="57" spans="1:11" x14ac:dyDescent="0.15">
      <c r="A57" s="47" t="s">
        <v>41</v>
      </c>
      <c r="B57" s="48"/>
      <c r="C57" s="46">
        <v>0</v>
      </c>
      <c r="D57" s="40"/>
      <c r="E57" s="40"/>
      <c r="F57" s="40"/>
      <c r="G57" s="40"/>
      <c r="H57" s="40"/>
      <c r="I57" s="40">
        <f>+C57*A58/100</f>
        <v>0</v>
      </c>
      <c r="J57" s="40"/>
    </row>
    <row r="58" spans="1:11" x14ac:dyDescent="0.15">
      <c r="A58" s="19">
        <v>54</v>
      </c>
      <c r="B58" s="41" t="s">
        <v>42</v>
      </c>
      <c r="C58" s="55"/>
      <c r="D58" s="43"/>
      <c r="E58" s="43"/>
      <c r="F58" s="43"/>
      <c r="G58" s="43"/>
      <c r="H58" s="43"/>
      <c r="I58" s="43"/>
      <c r="J58" s="43"/>
    </row>
    <row r="59" spans="1:11" x14ac:dyDescent="0.15">
      <c r="A59" s="54" t="s">
        <v>43</v>
      </c>
      <c r="B59" s="50"/>
      <c r="C59" s="51">
        <v>0</v>
      </c>
      <c r="D59" s="52"/>
      <c r="E59" s="52"/>
      <c r="F59" s="52"/>
      <c r="G59" s="52"/>
      <c r="H59" s="52"/>
      <c r="I59" s="52">
        <f>+C59*A60/100</f>
        <v>0</v>
      </c>
      <c r="J59" s="52"/>
    </row>
    <row r="60" spans="1:11" x14ac:dyDescent="0.15">
      <c r="A60" s="19">
        <v>39</v>
      </c>
      <c r="B60" s="41" t="s">
        <v>40</v>
      </c>
      <c r="C60" s="49"/>
      <c r="D60" s="43"/>
      <c r="E60" s="43"/>
      <c r="F60" s="43"/>
      <c r="G60" s="43"/>
      <c r="H60" s="43"/>
      <c r="I60" s="43"/>
      <c r="J60" s="43"/>
      <c r="K60"/>
    </row>
    <row r="61" spans="1:11" x14ac:dyDescent="0.15">
      <c r="A61" s="23" t="s">
        <v>25</v>
      </c>
      <c r="B61" s="23"/>
      <c r="C61" s="23"/>
      <c r="D61" s="23"/>
      <c r="E61" s="46">
        <f>SUM(E42:E60)</f>
        <v>0.53430000000000011</v>
      </c>
      <c r="F61" s="46">
        <f t="shared" ref="F61:J61" si="2">SUM(F42:F60)</f>
        <v>0.53170000000000006</v>
      </c>
      <c r="G61" s="46">
        <f t="shared" si="2"/>
        <v>2.2799999999999998</v>
      </c>
      <c r="H61" s="46">
        <f t="shared" si="2"/>
        <v>0.53170000000000006</v>
      </c>
      <c r="I61" s="46">
        <f t="shared" si="2"/>
        <v>0.11960000000000001</v>
      </c>
      <c r="J61" s="46">
        <f t="shared" si="2"/>
        <v>0.20800000000000002</v>
      </c>
      <c r="K61"/>
    </row>
    <row r="62" spans="1:11" x14ac:dyDescent="0.15">
      <c r="B62" s="29"/>
      <c r="C62" s="30"/>
      <c r="D62" s="31"/>
      <c r="E62" s="32"/>
      <c r="F62" s="32"/>
      <c r="G62" s="32"/>
      <c r="H62" s="32"/>
      <c r="I62" s="32"/>
      <c r="J62" s="32"/>
    </row>
    <row r="65" spans="2:8" x14ac:dyDescent="0.15">
      <c r="B65"/>
    </row>
    <row r="66" spans="2:8" x14ac:dyDescent="0.15">
      <c r="B66"/>
    </row>
    <row r="67" spans="2:8" x14ac:dyDescent="0.15">
      <c r="B67"/>
      <c r="D67" s="33"/>
    </row>
    <row r="68" spans="2:8" x14ac:dyDescent="0.15">
      <c r="B68"/>
      <c r="D68" s="33"/>
      <c r="G68" s="3"/>
    </row>
    <row r="69" spans="2:8" x14ac:dyDescent="0.15">
      <c r="G69" s="3"/>
    </row>
    <row r="70" spans="2:8" x14ac:dyDescent="0.15">
      <c r="H70" s="3"/>
    </row>
    <row r="71" spans="2:8" x14ac:dyDescent="0.15">
      <c r="G71" s="3"/>
    </row>
    <row r="72" spans="2:8" x14ac:dyDescent="0.15">
      <c r="G72" s="3"/>
    </row>
    <row r="73" spans="2:8" x14ac:dyDescent="0.15">
      <c r="G73" s="3"/>
    </row>
  </sheetData>
  <pageMargins left="0.511811024" right="0.511811024" top="0.78740157499999996" bottom="0.78740157499999996" header="0.31496062000000002" footer="0.31496062000000002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Microsoft Office User</cp:lastModifiedBy>
  <cp:lastPrinted>2014-11-10T17:57:54Z</cp:lastPrinted>
  <dcterms:created xsi:type="dcterms:W3CDTF">2008-08-22T18:01:42Z</dcterms:created>
  <dcterms:modified xsi:type="dcterms:W3CDTF">2023-05-29T17:30:38Z</dcterms:modified>
</cp:coreProperties>
</file>