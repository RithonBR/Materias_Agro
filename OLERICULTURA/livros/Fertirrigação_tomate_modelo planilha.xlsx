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Meu drive\Pesquisas Extras\Fertirrigação\Curso Fertirrigação\"/>
    </mc:Choice>
  </mc:AlternateContent>
  <bookViews>
    <workbookView xWindow="0" yWindow="0" windowWidth="28800" windowHeight="13125"/>
  </bookViews>
  <sheets>
    <sheet name="10 - 35 dias" sheetId="7" r:id="rId1"/>
  </sheets>
  <calcPr calcId="162913"/>
</workbook>
</file>

<file path=xl/calcChain.xml><?xml version="1.0" encoding="utf-8"?>
<calcChain xmlns="http://schemas.openxmlformats.org/spreadsheetml/2006/main">
  <c r="Y48" i="7" l="1"/>
  <c r="G7" i="7" l="1"/>
  <c r="G6" i="7"/>
  <c r="G5" i="7"/>
  <c r="L10" i="7"/>
  <c r="L11" i="7" s="1"/>
  <c r="I10" i="7"/>
  <c r="I9" i="7"/>
  <c r="I6" i="7"/>
  <c r="I4" i="7"/>
  <c r="P18" i="7"/>
  <c r="P19" i="7"/>
  <c r="P20" i="7"/>
  <c r="P21" i="7"/>
  <c r="P22" i="7"/>
  <c r="P23" i="7"/>
  <c r="P24" i="7"/>
  <c r="P25" i="7"/>
  <c r="P26" i="7"/>
  <c r="P27" i="7"/>
  <c r="P28" i="7"/>
  <c r="P29" i="7"/>
  <c r="D19" i="7"/>
  <c r="D20" i="7"/>
  <c r="D21" i="7"/>
  <c r="D22" i="7"/>
  <c r="D23" i="7"/>
  <c r="D24" i="7"/>
  <c r="D25" i="7"/>
  <c r="D26" i="7"/>
  <c r="D27" i="7"/>
  <c r="D28" i="7"/>
  <c r="D29" i="7"/>
  <c r="D18" i="7"/>
  <c r="M4" i="7"/>
  <c r="N4" i="7"/>
  <c r="O4" i="7"/>
  <c r="P4" i="7"/>
  <c r="Q4" i="7"/>
  <c r="R4" i="7"/>
  <c r="S4" i="7"/>
  <c r="T4" i="7"/>
  <c r="U4" i="7"/>
  <c r="V4" i="7"/>
  <c r="W4" i="7"/>
  <c r="L4" i="7"/>
  <c r="X22" i="7"/>
  <c r="X23" i="7"/>
  <c r="W21" i="7"/>
  <c r="W22" i="7"/>
  <c r="W23" i="7"/>
  <c r="V22" i="7"/>
  <c r="V23" i="7"/>
  <c r="U22" i="7"/>
  <c r="U23" i="7"/>
  <c r="U24" i="7"/>
  <c r="T22" i="7"/>
  <c r="T23" i="7"/>
  <c r="T24" i="7"/>
  <c r="T25" i="7"/>
  <c r="S22" i="7"/>
  <c r="S23" i="7"/>
  <c r="S24" i="7"/>
  <c r="S25" i="7"/>
  <c r="R22" i="7"/>
  <c r="R23" i="7"/>
  <c r="R24" i="7"/>
  <c r="Q22" i="7"/>
  <c r="Q23" i="7"/>
  <c r="Q24" i="7"/>
  <c r="Q25" i="7"/>
  <c r="AD29" i="7" l="1"/>
  <c r="AD33" i="7" s="1"/>
  <c r="AC29" i="7"/>
  <c r="AC33" i="7" s="1"/>
  <c r="U6" i="7" s="1"/>
  <c r="U7" i="7" s="1"/>
  <c r="AB29" i="7"/>
  <c r="AB33" i="7" s="1"/>
  <c r="R69" i="7" s="1"/>
  <c r="AA29" i="7"/>
  <c r="AA33" i="7" s="1"/>
  <c r="Z29" i="7"/>
  <c r="Y29" i="7"/>
  <c r="Y33" i="7" s="1"/>
  <c r="X28" i="7"/>
  <c r="W28" i="7"/>
  <c r="V28" i="7"/>
  <c r="U28" i="7"/>
  <c r="T28" i="7"/>
  <c r="S28" i="7"/>
  <c r="R28" i="7"/>
  <c r="Q28" i="7"/>
  <c r="X27" i="7"/>
  <c r="W27" i="7"/>
  <c r="V27" i="7"/>
  <c r="U27" i="7"/>
  <c r="T27" i="7"/>
  <c r="S27" i="7"/>
  <c r="R27" i="7"/>
  <c r="Q27" i="7"/>
  <c r="X26" i="7"/>
  <c r="W26" i="7"/>
  <c r="V26" i="7"/>
  <c r="U26" i="7"/>
  <c r="T26" i="7"/>
  <c r="S26" i="7"/>
  <c r="R26" i="7"/>
  <c r="Q26" i="7"/>
  <c r="X25" i="7"/>
  <c r="W25" i="7"/>
  <c r="V25" i="7"/>
  <c r="U25" i="7"/>
  <c r="R25" i="7"/>
  <c r="Z24" i="7"/>
  <c r="X24" i="7"/>
  <c r="W24" i="7"/>
  <c r="V24" i="7"/>
  <c r="X21" i="7"/>
  <c r="V21" i="7"/>
  <c r="U21" i="7"/>
  <c r="T21" i="7"/>
  <c r="S21" i="7"/>
  <c r="R21" i="7"/>
  <c r="Q21" i="7"/>
  <c r="X20" i="7"/>
  <c r="W20" i="7"/>
  <c r="V20" i="7"/>
  <c r="U20" i="7"/>
  <c r="T20" i="7"/>
  <c r="S20" i="7"/>
  <c r="R20" i="7"/>
  <c r="Q20" i="7"/>
  <c r="X19" i="7"/>
  <c r="W19" i="7"/>
  <c r="V19" i="7"/>
  <c r="U19" i="7"/>
  <c r="T19" i="7"/>
  <c r="S19" i="7"/>
  <c r="R19" i="7"/>
  <c r="Q19" i="7"/>
  <c r="X18" i="7"/>
  <c r="W18" i="7"/>
  <c r="V18" i="7"/>
  <c r="U18" i="7"/>
  <c r="T18" i="7"/>
  <c r="S18" i="7"/>
  <c r="R18" i="7"/>
  <c r="Q18" i="7"/>
  <c r="V5" i="7"/>
  <c r="U5" i="7"/>
  <c r="T5" i="7"/>
  <c r="S5" i="7"/>
  <c r="W5" i="7"/>
  <c r="R5" i="7"/>
  <c r="Q5" i="7"/>
  <c r="P5" i="7"/>
  <c r="O5" i="7"/>
  <c r="N5" i="7"/>
  <c r="M5" i="7"/>
  <c r="L5" i="7"/>
  <c r="Z33" i="7" l="1"/>
  <c r="P69" i="7" s="1"/>
  <c r="Q33" i="7"/>
  <c r="L6" i="7" s="1"/>
  <c r="L7" i="7" s="1"/>
  <c r="U33" i="7"/>
  <c r="Q46" i="7" s="1"/>
  <c r="S69" i="7"/>
  <c r="S33" i="7"/>
  <c r="P46" i="7" s="1"/>
  <c r="V33" i="7"/>
  <c r="R46" i="7" s="1"/>
  <c r="R33" i="7"/>
  <c r="U46" i="7" s="1"/>
  <c r="W33" i="7"/>
  <c r="O6" i="7" s="1"/>
  <c r="O7" i="7" s="1"/>
  <c r="P33" i="7"/>
  <c r="X33" i="7"/>
  <c r="Y36" i="7" s="1"/>
  <c r="T33" i="7"/>
  <c r="M6" i="7" s="1"/>
  <c r="M7" i="7" s="1"/>
  <c r="V6" i="7"/>
  <c r="V7" i="7" s="1"/>
  <c r="T69" i="7"/>
  <c r="Q69" i="7"/>
  <c r="S6" i="7"/>
  <c r="S7" i="7" s="1"/>
  <c r="W6" i="7"/>
  <c r="W7" i="7" s="1"/>
  <c r="O69" i="7"/>
  <c r="R6" i="7"/>
  <c r="R7" i="7" s="1"/>
  <c r="T6" i="7"/>
  <c r="T7" i="7" s="1"/>
  <c r="O61" i="7" l="1"/>
  <c r="Q6" i="7"/>
  <c r="Q7" i="7" s="1"/>
  <c r="R61" i="7"/>
  <c r="N6" i="7"/>
  <c r="N7" i="7" s="1"/>
  <c r="Q61" i="7"/>
  <c r="Q48" i="7"/>
  <c r="R48" i="7"/>
  <c r="P61" i="7"/>
  <c r="P48" i="7"/>
  <c r="Q37" i="7"/>
  <c r="U48" i="7"/>
  <c r="S61" i="7"/>
  <c r="S46" i="7"/>
  <c r="S48" i="7"/>
  <c r="P6" i="7"/>
  <c r="P7" i="7" s="1"/>
  <c r="T61" i="7"/>
  <c r="U36" i="7"/>
  <c r="W48" i="7" s="1"/>
  <c r="Q36" i="7"/>
  <c r="W46" i="7"/>
  <c r="Q50" i="7" l="1"/>
  <c r="W50" i="7"/>
</calcChain>
</file>

<file path=xl/sharedStrings.xml><?xml version="1.0" encoding="utf-8"?>
<sst xmlns="http://schemas.openxmlformats.org/spreadsheetml/2006/main" count="141" uniqueCount="85">
  <si>
    <t>Planilha para cálculo de solução nutritiva</t>
  </si>
  <si>
    <t xml:space="preserve">    C.E.</t>
  </si>
  <si>
    <t>Sais</t>
  </si>
  <si>
    <t>Porcentagem de nutrientes nos sais (%)</t>
  </si>
  <si>
    <t>C.E.</t>
  </si>
  <si>
    <t>PARCIAL</t>
  </si>
  <si>
    <t>Teores parcias em miligramas por litro (mg/L)</t>
  </si>
  <si>
    <t>N</t>
  </si>
  <si>
    <t>P</t>
  </si>
  <si>
    <t>K</t>
  </si>
  <si>
    <t>Mg</t>
  </si>
  <si>
    <t>S</t>
  </si>
  <si>
    <t>Ca</t>
  </si>
  <si>
    <t>1g / litro</t>
  </si>
  <si>
    <t>dS/m</t>
  </si>
  <si>
    <r>
      <rPr>
        <b/>
        <sz val="10"/>
        <color rgb="FFFFFFFF"/>
        <rFont val="Arial"/>
      </rPr>
      <t>NO</t>
    </r>
    <r>
      <rPr>
        <b/>
        <vertAlign val="subscript"/>
        <sz val="10"/>
        <color rgb="FFFFFFFF"/>
        <rFont val="Arial"/>
      </rPr>
      <t>3</t>
    </r>
    <r>
      <rPr>
        <b/>
        <vertAlign val="superscript"/>
        <sz val="10"/>
        <color rgb="FFFFFFFF"/>
        <rFont val="Arial"/>
      </rPr>
      <t>-</t>
    </r>
  </si>
  <si>
    <r>
      <rPr>
        <b/>
        <sz val="10"/>
        <color rgb="FFFFFFFF"/>
        <rFont val="Arial"/>
      </rPr>
      <t>NH</t>
    </r>
    <r>
      <rPr>
        <b/>
        <vertAlign val="subscript"/>
        <sz val="10"/>
        <color rgb="FFFFFFFF"/>
        <rFont val="Arial"/>
      </rPr>
      <t>4</t>
    </r>
    <r>
      <rPr>
        <b/>
        <vertAlign val="superscript"/>
        <sz val="10"/>
        <color rgb="FFFFFFFF"/>
        <rFont val="Arial"/>
      </rPr>
      <t>+</t>
    </r>
  </si>
  <si>
    <t>Fe</t>
  </si>
  <si>
    <t>B</t>
  </si>
  <si>
    <t>Mn</t>
  </si>
  <si>
    <t>Zn</t>
  </si>
  <si>
    <t>Mo</t>
  </si>
  <si>
    <t>Cu</t>
  </si>
  <si>
    <t xml:space="preserve">C.E. </t>
  </si>
  <si>
    <t>mg/L ou ppm</t>
  </si>
  <si>
    <t>final</t>
  </si>
  <si>
    <r>
      <rPr>
        <b/>
        <sz val="10"/>
        <rFont val="Arial"/>
      </rPr>
      <t>% NO</t>
    </r>
    <r>
      <rPr>
        <b/>
        <vertAlign val="subscript"/>
        <sz val="10"/>
        <rFont val="Arial"/>
      </rPr>
      <t>3</t>
    </r>
    <r>
      <rPr>
        <b/>
        <vertAlign val="superscript"/>
        <sz val="10"/>
        <rFont val="Arial"/>
      </rPr>
      <t>-</t>
    </r>
    <r>
      <rPr>
        <b/>
        <sz val="10"/>
        <rFont val="Arial"/>
      </rPr>
      <t xml:space="preserve"> </t>
    </r>
  </si>
  <si>
    <r>
      <rPr>
        <b/>
        <sz val="10"/>
        <rFont val="Arial"/>
      </rPr>
      <t>H</t>
    </r>
    <r>
      <rPr>
        <b/>
        <vertAlign val="subscript"/>
        <sz val="10"/>
        <rFont val="Arial"/>
      </rPr>
      <t>2</t>
    </r>
    <r>
      <rPr>
        <b/>
        <sz val="10"/>
        <rFont val="Arial"/>
      </rPr>
      <t>PO</t>
    </r>
    <r>
      <rPr>
        <b/>
        <vertAlign val="subscript"/>
        <sz val="10"/>
        <rFont val="Arial"/>
      </rPr>
      <t>4</t>
    </r>
    <r>
      <rPr>
        <sz val="10"/>
        <rFont val="Arial"/>
      </rPr>
      <t xml:space="preserve"> </t>
    </r>
    <r>
      <rPr>
        <vertAlign val="superscript"/>
        <sz val="10"/>
        <rFont val="Arial"/>
      </rPr>
      <t>-</t>
    </r>
  </si>
  <si>
    <r>
      <rPr>
        <b/>
        <sz val="10"/>
        <rFont val="Arial"/>
      </rPr>
      <t>SO</t>
    </r>
    <r>
      <rPr>
        <b/>
        <vertAlign val="subscript"/>
        <sz val="10"/>
        <rFont val="Arial"/>
      </rPr>
      <t>4</t>
    </r>
    <r>
      <rPr>
        <b/>
        <vertAlign val="superscript"/>
        <sz val="10"/>
        <rFont val="Arial"/>
      </rPr>
      <t>-</t>
    </r>
  </si>
  <si>
    <r>
      <rPr>
        <b/>
        <sz val="10"/>
        <rFont val="Arial"/>
      </rPr>
      <t>% NH</t>
    </r>
    <r>
      <rPr>
        <b/>
        <vertAlign val="subscript"/>
        <sz val="10"/>
        <rFont val="Arial"/>
      </rPr>
      <t>4</t>
    </r>
    <r>
      <rPr>
        <b/>
        <vertAlign val="superscript"/>
        <sz val="10"/>
        <rFont val="Arial"/>
      </rPr>
      <t>+</t>
    </r>
    <r>
      <rPr>
        <b/>
        <sz val="10"/>
        <rFont val="Arial"/>
      </rPr>
      <t xml:space="preserve"> </t>
    </r>
  </si>
  <si>
    <t>Balanço</t>
  </si>
  <si>
    <t>Cations  (+)</t>
  </si>
  <si>
    <t>Anions   (-)</t>
  </si>
  <si>
    <r>
      <rPr>
        <b/>
        <sz val="10"/>
        <rFont val="Arial"/>
      </rPr>
      <t>NH</t>
    </r>
    <r>
      <rPr>
        <b/>
        <vertAlign val="subscript"/>
        <sz val="10"/>
        <rFont val="Arial"/>
      </rPr>
      <t>4</t>
    </r>
    <r>
      <rPr>
        <b/>
        <vertAlign val="superscript"/>
        <sz val="10"/>
        <rFont val="Arial"/>
      </rPr>
      <t>+</t>
    </r>
  </si>
  <si>
    <r>
      <rPr>
        <b/>
        <sz val="10"/>
        <rFont val="Arial"/>
      </rPr>
      <t>K</t>
    </r>
    <r>
      <rPr>
        <b/>
        <vertAlign val="superscript"/>
        <sz val="10"/>
        <rFont val="Arial"/>
      </rPr>
      <t>+</t>
    </r>
  </si>
  <si>
    <r>
      <rPr>
        <b/>
        <sz val="10"/>
        <rFont val="Arial"/>
      </rPr>
      <t>Ca</t>
    </r>
    <r>
      <rPr>
        <b/>
        <vertAlign val="superscript"/>
        <sz val="10"/>
        <rFont val="Arial"/>
      </rPr>
      <t>++</t>
    </r>
  </si>
  <si>
    <r>
      <rPr>
        <b/>
        <sz val="10"/>
        <rFont val="Arial"/>
      </rPr>
      <t>Mg</t>
    </r>
    <r>
      <rPr>
        <b/>
        <vertAlign val="superscript"/>
        <sz val="10"/>
        <rFont val="Arial"/>
      </rPr>
      <t>++</t>
    </r>
  </si>
  <si>
    <r>
      <rPr>
        <b/>
        <sz val="10"/>
        <rFont val="Arial"/>
      </rPr>
      <t>NO</t>
    </r>
    <r>
      <rPr>
        <b/>
        <vertAlign val="subscript"/>
        <sz val="10"/>
        <rFont val="Arial"/>
      </rPr>
      <t>3</t>
    </r>
    <r>
      <rPr>
        <b/>
        <vertAlign val="superscript"/>
        <sz val="10"/>
        <rFont val="Arial"/>
      </rPr>
      <t>-</t>
    </r>
  </si>
  <si>
    <r>
      <rPr>
        <b/>
        <sz val="10"/>
        <rFont val="Arial"/>
      </rPr>
      <t>H</t>
    </r>
    <r>
      <rPr>
        <b/>
        <vertAlign val="subscript"/>
        <sz val="10"/>
        <rFont val="Arial"/>
      </rPr>
      <t>2</t>
    </r>
    <r>
      <rPr>
        <b/>
        <sz val="10"/>
        <rFont val="Arial"/>
      </rPr>
      <t>PO</t>
    </r>
    <r>
      <rPr>
        <b/>
        <vertAlign val="subscript"/>
        <sz val="10"/>
        <rFont val="Arial"/>
      </rPr>
      <t>4</t>
    </r>
  </si>
  <si>
    <t>mg/L</t>
  </si>
  <si>
    <t>mmol</t>
  </si>
  <si>
    <t>Antagonismos comuns de ocorrencia geral:</t>
  </si>
  <si>
    <t>Excesso de</t>
  </si>
  <si>
    <t xml:space="preserve">      Induz a deficiencia de</t>
  </si>
  <si>
    <r>
      <rPr>
        <sz val="10"/>
        <color rgb="FFFFFFFF"/>
        <rFont val="Arial Black"/>
      </rPr>
      <t>NO</t>
    </r>
    <r>
      <rPr>
        <vertAlign val="subscript"/>
        <sz val="10"/>
        <color rgb="FFFFFFFF"/>
        <rFont val="Arial Black"/>
      </rPr>
      <t>3</t>
    </r>
    <r>
      <rPr>
        <vertAlign val="superscript"/>
        <sz val="10"/>
        <color rgb="FFFFFFFF"/>
        <rFont val="Arial Black"/>
      </rPr>
      <t>-</t>
    </r>
  </si>
  <si>
    <t>N, Ca,  Mg</t>
  </si>
  <si>
    <t>Relação</t>
  </si>
  <si>
    <t>Na</t>
  </si>
  <si>
    <t>K, Ca, Mg</t>
  </si>
  <si>
    <r>
      <rPr>
        <b/>
        <sz val="9"/>
        <color rgb="FFFFFFFF"/>
        <rFont val="Arial"/>
      </rPr>
      <t>K, Mg, P, Fe, Mn, NH</t>
    </r>
    <r>
      <rPr>
        <b/>
        <vertAlign val="subscript"/>
        <sz val="9"/>
        <color rgb="FFFFFFFF"/>
        <rFont val="Arial"/>
      </rPr>
      <t>4</t>
    </r>
    <r>
      <rPr>
        <b/>
        <sz val="9"/>
        <color rgb="FFFFFFFF"/>
        <rFont val="Arial"/>
      </rPr>
      <t>, Zn, B, Cu</t>
    </r>
  </si>
  <si>
    <t>Macronutrientes (mg/L)</t>
  </si>
  <si>
    <t>Ca, Cu, Mg</t>
  </si>
  <si>
    <t xml:space="preserve">   Micronutrientes (mg/L)</t>
  </si>
  <si>
    <r>
      <t>NO</t>
    </r>
    <r>
      <rPr>
        <b/>
        <vertAlign val="subscript"/>
        <sz val="10"/>
        <color rgb="FFFFFFFF"/>
        <rFont val="Arial"/>
      </rPr>
      <t>3</t>
    </r>
    <r>
      <rPr>
        <b/>
        <vertAlign val="superscript"/>
        <sz val="10"/>
        <color rgb="FFFFFFFF"/>
        <rFont val="Arial"/>
      </rPr>
      <t>-</t>
    </r>
  </si>
  <si>
    <t>Krista MAP</t>
  </si>
  <si>
    <t xml:space="preserve">KRISTA MAG </t>
  </si>
  <si>
    <t xml:space="preserve">KRISTA SOP </t>
  </si>
  <si>
    <t>CALCINIT</t>
  </si>
  <si>
    <t xml:space="preserve">KRISTA MOP </t>
  </si>
  <si>
    <t xml:space="preserve">REXOLIN CXK </t>
  </si>
  <si>
    <t xml:space="preserve"> Sendo aplicado.</t>
  </si>
  <si>
    <t xml:space="preserve">SULFATO DE MAGNESIO ULTRA </t>
  </si>
  <si>
    <t xml:space="preserve">FOSFATO MONOAMÔNIO CRISTAL </t>
  </si>
  <si>
    <r>
      <t>NH</t>
    </r>
    <r>
      <rPr>
        <b/>
        <vertAlign val="subscript"/>
        <sz val="10"/>
        <color rgb="FFFFFFFF"/>
        <rFont val="Arial"/>
      </rPr>
      <t>4</t>
    </r>
    <r>
      <rPr>
        <b/>
        <vertAlign val="superscript"/>
        <sz val="10"/>
        <color rgb="FFFFFFFF"/>
        <rFont val="Arial"/>
      </rPr>
      <t>+</t>
    </r>
  </si>
  <si>
    <t>Cultura:</t>
  </si>
  <si>
    <t>Fase de desenvolvimento:</t>
  </si>
  <si>
    <t>Quantidade por aplicação (g)</t>
  </si>
  <si>
    <t>DOSE (g)</t>
  </si>
  <si>
    <t>Entradas</t>
  </si>
  <si>
    <t>Necessidade</t>
  </si>
  <si>
    <t>Unidade</t>
  </si>
  <si>
    <t>Dias que atende</t>
  </si>
  <si>
    <t>Número de aplicações por semana</t>
  </si>
  <si>
    <t>Atendido</t>
  </si>
  <si>
    <t>Tomate</t>
  </si>
  <si>
    <t>g/1000 plantas</t>
  </si>
  <si>
    <t>Ácido bórico</t>
  </si>
  <si>
    <t>Cloreto de Potássio</t>
  </si>
  <si>
    <t>Ureia</t>
  </si>
  <si>
    <t>Nitrato de Potássio</t>
  </si>
  <si>
    <t>g/3000 plantas</t>
  </si>
  <si>
    <t>10 aos 35 DAT</t>
  </si>
  <si>
    <t>Água a ser utilizada (litros)</t>
  </si>
  <si>
    <t>Água por aplicação</t>
  </si>
  <si>
    <r>
      <t>NH</t>
    </r>
    <r>
      <rPr>
        <vertAlign val="superscript"/>
        <sz val="10"/>
        <color rgb="FFFFFFFF"/>
        <rFont val="Arial Black"/>
      </rPr>
      <t>+4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</si>
</sst>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63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color rgb="FFFFFF00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u/>
      <sz val="10"/>
      <color rgb="FFFFFFFF"/>
      <name val="Arial"/>
    </font>
    <font>
      <b/>
      <sz val="14"/>
      <color rgb="FFFFFFFF"/>
      <name val="Arial"/>
    </font>
    <font>
      <b/>
      <sz val="8"/>
      <color rgb="FFFFFFFF"/>
      <name val="Arial"/>
    </font>
    <font>
      <b/>
      <vertAlign val="subscript"/>
      <sz val="12"/>
      <color rgb="FFFFFFFF"/>
      <name val="Arial"/>
    </font>
    <font>
      <b/>
      <sz val="10"/>
      <name val="Arial"/>
    </font>
    <font>
      <sz val="9"/>
      <color rgb="FFFFFFFF"/>
      <name val="Arial"/>
    </font>
    <font>
      <b/>
      <sz val="10"/>
      <color rgb="FFFF0000"/>
      <name val="Arial"/>
    </font>
    <font>
      <b/>
      <i/>
      <sz val="10"/>
      <name val="Arial"/>
    </font>
    <font>
      <b/>
      <sz val="8"/>
      <name val="Arial"/>
    </font>
    <font>
      <b/>
      <sz val="10"/>
      <color rgb="FF333399"/>
      <name val="Arial"/>
    </font>
    <font>
      <b/>
      <sz val="10"/>
      <color rgb="FF0000FF"/>
      <name val="Arial"/>
    </font>
    <font>
      <b/>
      <sz val="12"/>
      <color rgb="FFFF0000"/>
      <name val="Arial"/>
    </font>
    <font>
      <b/>
      <sz val="11"/>
      <color rgb="FF0000FF"/>
      <name val="Arial"/>
    </font>
    <font>
      <b/>
      <sz val="12"/>
      <name val="Arial"/>
    </font>
    <font>
      <b/>
      <sz val="11"/>
      <color rgb="FF000000"/>
      <name val="Arial"/>
    </font>
    <font>
      <sz val="10"/>
      <color rgb="FFFFFFFF"/>
      <name val="Arial Black"/>
    </font>
    <font>
      <b/>
      <sz val="9"/>
      <color rgb="FFFFFFFF"/>
      <name val="Arial"/>
    </font>
    <font>
      <b/>
      <sz val="12"/>
      <color rgb="FF0000FF"/>
      <name val="Arial"/>
    </font>
    <font>
      <b/>
      <sz val="12"/>
      <color rgb="FFFF6600"/>
      <name val="Arial"/>
    </font>
    <font>
      <b/>
      <sz val="12"/>
      <color rgb="FFFFFFFF"/>
      <name val="Arial"/>
    </font>
    <font>
      <b/>
      <sz val="12"/>
      <color rgb="FF008000"/>
      <name val="Arial"/>
    </font>
    <font>
      <b/>
      <sz val="12"/>
      <color rgb="FFFF00FF"/>
      <name val="Arial"/>
    </font>
    <font>
      <b/>
      <sz val="10"/>
      <color rgb="FF333300"/>
      <name val="Arial"/>
    </font>
    <font>
      <b/>
      <sz val="12"/>
      <color rgb="FF800000"/>
      <name val="Arial"/>
    </font>
    <font>
      <b/>
      <sz val="12"/>
      <color rgb="FF000000"/>
      <name val="Arial"/>
    </font>
    <font>
      <b/>
      <sz val="12"/>
      <color rgb="FF00CCFF"/>
      <name val="Arial"/>
    </font>
    <font>
      <b/>
      <sz val="12"/>
      <color rgb="FF3366FF"/>
      <name val="Arial"/>
    </font>
    <font>
      <sz val="8"/>
      <color rgb="FF000000"/>
      <name val="Arial"/>
    </font>
    <font>
      <b/>
      <sz val="10"/>
      <color rgb="FF000000"/>
      <name val="Arial"/>
    </font>
    <font>
      <sz val="10"/>
      <color rgb="FF000080"/>
      <name val="Arial"/>
    </font>
    <font>
      <b/>
      <sz val="11"/>
      <name val="Arial"/>
    </font>
    <font>
      <sz val="11"/>
      <color rgb="FFFF0000"/>
      <name val="Noto Sans Symbols"/>
    </font>
    <font>
      <b/>
      <vertAlign val="subscript"/>
      <sz val="10"/>
      <color rgb="FFFFFFFF"/>
      <name val="Arial"/>
    </font>
    <font>
      <b/>
      <vertAlign val="superscript"/>
      <sz val="10"/>
      <color rgb="FFFFFFFF"/>
      <name val="Arial"/>
    </font>
    <font>
      <b/>
      <vertAlign val="subscript"/>
      <sz val="10"/>
      <name val="Arial"/>
    </font>
    <font>
      <b/>
      <vertAlign val="superscript"/>
      <sz val="10"/>
      <name val="Arial"/>
    </font>
    <font>
      <vertAlign val="superscript"/>
      <sz val="10"/>
      <name val="Arial"/>
    </font>
    <font>
      <vertAlign val="subscript"/>
      <sz val="10"/>
      <color rgb="FFFFFFFF"/>
      <name val="Arial Black"/>
    </font>
    <font>
      <vertAlign val="superscript"/>
      <sz val="10"/>
      <color rgb="FFFFFFFF"/>
      <name val="Arial Black"/>
    </font>
    <font>
      <b/>
      <vertAlign val="subscript"/>
      <sz val="9"/>
      <color rgb="FFFFFFFF"/>
      <name val="Arial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theme="0"/>
      <name val="Arial"/>
      <family val="2"/>
    </font>
    <font>
      <b/>
      <sz val="8"/>
      <color rgb="FFFFFFFF"/>
      <name val="Arial"/>
      <family val="2"/>
    </font>
    <font>
      <sz val="8"/>
      <color rgb="FFFFFFFF"/>
      <name val="Arial"/>
      <family val="2"/>
    </font>
    <font>
      <b/>
      <sz val="9"/>
      <color rgb="FF000000"/>
      <name val="Arial"/>
      <family val="2"/>
    </font>
    <font>
      <b/>
      <sz val="8"/>
      <name val="Arial"/>
      <family val="2"/>
    </font>
    <font>
      <sz val="10"/>
      <color rgb="FFFFFFFF"/>
      <name val="Arial Black"/>
      <family val="2"/>
    </font>
  </fonts>
  <fills count="36">
    <fill>
      <patternFill patternType="none"/>
    </fill>
    <fill>
      <patternFill patternType="gray125"/>
    </fill>
    <fill>
      <patternFill patternType="solid">
        <fgColor rgb="FF00CCFF"/>
        <bgColor rgb="FF00CCFF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99CC00"/>
        <bgColor rgb="FF99CC00"/>
      </patternFill>
    </fill>
    <fill>
      <patternFill patternType="solid">
        <fgColor rgb="FF3366FF"/>
        <bgColor rgb="FF3366FF"/>
      </patternFill>
    </fill>
    <fill>
      <patternFill patternType="solid">
        <fgColor rgb="FFFF6600"/>
        <bgColor rgb="FFFF6600"/>
      </patternFill>
    </fill>
    <fill>
      <patternFill patternType="solid">
        <fgColor rgb="FF9999FF"/>
        <bgColor rgb="FF9999FF"/>
      </patternFill>
    </fill>
    <fill>
      <patternFill patternType="solid">
        <fgColor rgb="FF339966"/>
        <bgColor rgb="FF339966"/>
      </patternFill>
    </fill>
    <fill>
      <patternFill patternType="solid">
        <fgColor rgb="FF0000FF"/>
        <bgColor rgb="FF0000FF"/>
      </patternFill>
    </fill>
    <fill>
      <patternFill patternType="solid">
        <fgColor rgb="FFFFCC00"/>
        <bgColor rgb="FFFFCC00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rgb="FFFF9900"/>
        <bgColor rgb="FFFF9900"/>
      </patternFill>
    </fill>
    <fill>
      <patternFill patternType="solid">
        <fgColor rgb="FF0066CC"/>
        <bgColor rgb="FF0066CC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33CCCC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rgb="FF339966"/>
      </patternFill>
    </fill>
    <fill>
      <patternFill patternType="solid">
        <fgColor theme="3" tint="0.79998168889431442"/>
        <b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FF99"/>
      </patternFill>
    </fill>
    <fill>
      <patternFill patternType="solid">
        <fgColor rgb="FF00B050"/>
        <bgColor rgb="FF008000"/>
      </patternFill>
    </fill>
    <fill>
      <patternFill patternType="solid">
        <fgColor rgb="FF00B05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0"/>
        <bgColor rgb="FF339966"/>
      </patternFill>
    </fill>
  </fills>
  <borders count="1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double">
        <color rgb="FF008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/>
      <right style="double">
        <color rgb="FF0000FF"/>
      </right>
      <top style="medium">
        <color rgb="FF000000"/>
      </top>
      <bottom/>
      <diagonal/>
    </border>
    <border>
      <left style="double">
        <color rgb="FF008000"/>
      </left>
      <right style="double">
        <color rgb="FF008000"/>
      </right>
      <top style="double">
        <color rgb="FF008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333399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333399"/>
      </bottom>
      <diagonal/>
    </border>
    <border>
      <left style="medium">
        <color rgb="FFFFFFFF"/>
      </left>
      <right style="double">
        <color rgb="FF0000FF"/>
      </right>
      <top/>
      <bottom style="medium">
        <color rgb="FF333399"/>
      </bottom>
      <diagonal/>
    </border>
    <border>
      <left style="double">
        <color rgb="FF008000"/>
      </left>
      <right style="double">
        <color rgb="FF008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333399"/>
      </top>
      <bottom style="thin">
        <color rgb="FF000000"/>
      </bottom>
      <diagonal/>
    </border>
    <border>
      <left/>
      <right/>
      <top style="double">
        <color rgb="FF99CC00"/>
      </top>
      <bottom style="double">
        <color rgb="FF99CC00"/>
      </bottom>
      <diagonal/>
    </border>
    <border>
      <left/>
      <right style="dotted">
        <color rgb="FF008000"/>
      </right>
      <top style="double">
        <color rgb="FF99CC00"/>
      </top>
      <bottom style="double">
        <color rgb="FF99CC00"/>
      </bottom>
      <diagonal/>
    </border>
    <border>
      <left style="dotted">
        <color rgb="FF008000"/>
      </left>
      <right style="dotted">
        <color rgb="FF008000"/>
      </right>
      <top style="dotted">
        <color rgb="FF008000"/>
      </top>
      <bottom style="medium">
        <color rgb="FF008000"/>
      </bottom>
      <diagonal/>
    </border>
    <border>
      <left/>
      <right/>
      <top style="thin">
        <color rgb="FF000000"/>
      </top>
      <bottom style="medium">
        <color rgb="FF008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8000"/>
      </bottom>
      <diagonal/>
    </border>
    <border>
      <left style="medium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800080"/>
      </bottom>
      <diagonal/>
    </border>
    <border>
      <left style="thin">
        <color rgb="FFFFFFFF"/>
      </left>
      <right style="thin">
        <color rgb="FFFFFFFF"/>
      </right>
      <top/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 style="thin">
        <color rgb="FFFFFFFF"/>
      </left>
      <right style="double">
        <color rgb="FF0000FF"/>
      </right>
      <top style="thin">
        <color rgb="FFFFFFFF"/>
      </top>
      <bottom style="thin">
        <color rgb="FFFFFFFF"/>
      </bottom>
      <diagonal/>
    </border>
    <border>
      <left style="medium">
        <color rgb="FF80008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FF"/>
      </right>
      <top/>
      <bottom/>
      <diagonal/>
    </border>
    <border>
      <left style="medium">
        <color rgb="FF80008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9900"/>
      </bottom>
      <diagonal/>
    </border>
    <border>
      <left style="double">
        <color rgb="FFFF9900"/>
      </left>
      <right/>
      <top style="double">
        <color rgb="FFFF9900"/>
      </top>
      <bottom/>
      <diagonal/>
    </border>
    <border>
      <left/>
      <right/>
      <top style="double">
        <color rgb="FFFF9900"/>
      </top>
      <bottom/>
      <diagonal/>
    </border>
    <border>
      <left/>
      <right style="double">
        <color rgb="FFFF9900"/>
      </right>
      <top style="double">
        <color rgb="FFFF9900"/>
      </top>
      <bottom/>
      <diagonal/>
    </border>
    <border>
      <left style="double">
        <color rgb="FFFF9900"/>
      </left>
      <right/>
      <top/>
      <bottom/>
      <diagonal/>
    </border>
    <border>
      <left/>
      <right/>
      <top style="double">
        <color rgb="FFFF9900"/>
      </top>
      <bottom style="double">
        <color rgb="FFFF9900"/>
      </bottom>
      <diagonal/>
    </border>
    <border>
      <left/>
      <right/>
      <top style="double">
        <color rgb="FFFF9900"/>
      </top>
      <bottom style="double">
        <color rgb="FFFF9900"/>
      </bottom>
      <diagonal/>
    </border>
    <border>
      <left/>
      <right/>
      <top style="double">
        <color rgb="FFFF9900"/>
      </top>
      <bottom style="double">
        <color rgb="FFFF9900"/>
      </bottom>
      <diagonal/>
    </border>
    <border>
      <left/>
      <right style="double">
        <color rgb="FFFF9900"/>
      </right>
      <top/>
      <bottom/>
      <diagonal/>
    </border>
    <border>
      <left style="double">
        <color rgb="FFFF9900"/>
      </left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FF6600"/>
      </left>
      <right/>
      <top style="double">
        <color rgb="FFFF6600"/>
      </top>
      <bottom/>
      <diagonal/>
    </border>
    <border>
      <left/>
      <right/>
      <top style="double">
        <color rgb="FFFF6600"/>
      </top>
      <bottom/>
      <diagonal/>
    </border>
    <border>
      <left/>
      <right style="double">
        <color rgb="FFFF6600"/>
      </right>
      <top style="double">
        <color rgb="FFFF6600"/>
      </top>
      <bottom/>
      <diagonal/>
    </border>
    <border>
      <left style="double">
        <color rgb="FFFF9900"/>
      </left>
      <right style="double">
        <color rgb="FFFF9900"/>
      </right>
      <top style="double">
        <color rgb="FFFF9900"/>
      </top>
      <bottom style="double">
        <color rgb="FFFF9900"/>
      </bottom>
      <diagonal/>
    </border>
    <border>
      <left style="double">
        <color rgb="FFFF6600"/>
      </left>
      <right/>
      <top/>
      <bottom style="double">
        <color rgb="FFFF6600"/>
      </bottom>
      <diagonal/>
    </border>
    <border>
      <left/>
      <right/>
      <top/>
      <bottom style="double">
        <color rgb="FFFF6600"/>
      </bottom>
      <diagonal/>
    </border>
    <border>
      <left/>
      <right style="double">
        <color rgb="FFFF6600"/>
      </right>
      <top/>
      <bottom style="double">
        <color rgb="FFFF6600"/>
      </bottom>
      <diagonal/>
    </border>
    <border>
      <left style="double">
        <color rgb="FFFF9900"/>
      </left>
      <right/>
      <top/>
      <bottom style="double">
        <color rgb="FFFF9900"/>
      </bottom>
      <diagonal/>
    </border>
    <border>
      <left/>
      <right style="double">
        <color rgb="FFFF9900"/>
      </right>
      <top/>
      <bottom style="double">
        <color rgb="FFFF9900"/>
      </bottom>
      <diagonal/>
    </border>
    <border>
      <left style="double">
        <color rgb="FFFF6600"/>
      </left>
      <right/>
      <top style="double">
        <color rgb="FFFF6600"/>
      </top>
      <bottom style="double">
        <color rgb="FFFF6600"/>
      </bottom>
      <diagonal/>
    </border>
    <border>
      <left/>
      <right/>
      <top style="double">
        <color rgb="FFFF6600"/>
      </top>
      <bottom style="double">
        <color rgb="FFFF6600"/>
      </bottom>
      <diagonal/>
    </border>
    <border>
      <left/>
      <right/>
      <top style="double">
        <color rgb="FFFF6600"/>
      </top>
      <bottom style="double">
        <color rgb="FFFF6600"/>
      </bottom>
      <diagonal/>
    </border>
    <border>
      <left/>
      <right style="double">
        <color rgb="FFFF6600"/>
      </right>
      <top style="double">
        <color rgb="FFFF6600"/>
      </top>
      <bottom style="double">
        <color rgb="FFFF6600"/>
      </bottom>
      <diagonal/>
    </border>
    <border>
      <left style="thick">
        <color rgb="FFFF6600"/>
      </left>
      <right style="medium">
        <color rgb="FF3366FF"/>
      </right>
      <top style="double">
        <color rgb="FFFF6600"/>
      </top>
      <bottom style="medium">
        <color rgb="FF3366FF"/>
      </bottom>
      <diagonal/>
    </border>
    <border>
      <left style="medium">
        <color rgb="FF3366FF"/>
      </left>
      <right/>
      <top style="double">
        <color rgb="FFFF6600"/>
      </top>
      <bottom style="medium">
        <color rgb="FF3366FF"/>
      </bottom>
      <diagonal/>
    </border>
    <border>
      <left/>
      <right/>
      <top style="double">
        <color rgb="FFFF6600"/>
      </top>
      <bottom style="medium">
        <color rgb="FF3366FF"/>
      </bottom>
      <diagonal/>
    </border>
    <border>
      <left/>
      <right style="thick">
        <color rgb="FFFF6600"/>
      </right>
      <top style="double">
        <color rgb="FFFF6600"/>
      </top>
      <bottom style="medium">
        <color rgb="FF3366FF"/>
      </bottom>
      <diagonal/>
    </border>
    <border>
      <left style="double">
        <color rgb="FFFF6600"/>
      </left>
      <right/>
      <top style="double">
        <color rgb="FFFF6600"/>
      </top>
      <bottom/>
      <diagonal/>
    </border>
    <border>
      <left/>
      <right/>
      <top style="double">
        <color rgb="FFFF6600"/>
      </top>
      <bottom/>
      <diagonal/>
    </border>
    <border>
      <left/>
      <right style="double">
        <color rgb="FFFF6600"/>
      </right>
      <top style="double">
        <color rgb="FFFF6600"/>
      </top>
      <bottom/>
      <diagonal/>
    </border>
    <border>
      <left style="thick">
        <color rgb="FFFF6600"/>
      </left>
      <right style="medium">
        <color rgb="FF3366FF"/>
      </right>
      <top style="medium">
        <color rgb="FF3366FF"/>
      </top>
      <bottom style="medium">
        <color rgb="FF3366FF"/>
      </bottom>
      <diagonal/>
    </border>
    <border>
      <left style="medium">
        <color rgb="FF3366FF"/>
      </left>
      <right/>
      <top style="medium">
        <color rgb="FF3366FF"/>
      </top>
      <bottom style="medium">
        <color rgb="FF3366FF"/>
      </bottom>
      <diagonal/>
    </border>
    <border>
      <left/>
      <right/>
      <top style="medium">
        <color rgb="FF3366FF"/>
      </top>
      <bottom style="medium">
        <color rgb="FF3366FF"/>
      </bottom>
      <diagonal/>
    </border>
    <border>
      <left/>
      <right style="thick">
        <color rgb="FFFF6600"/>
      </right>
      <top style="medium">
        <color rgb="FF3366FF"/>
      </top>
      <bottom style="medium">
        <color rgb="FF3366FF"/>
      </bottom>
      <diagonal/>
    </border>
    <border>
      <left style="double">
        <color rgb="FFFF6600"/>
      </left>
      <right/>
      <top/>
      <bottom/>
      <diagonal/>
    </border>
    <border>
      <left/>
      <right style="double">
        <color rgb="FFFF6600"/>
      </right>
      <top/>
      <bottom/>
      <diagonal/>
    </border>
    <border>
      <left/>
      <right/>
      <top style="double">
        <color rgb="FF339966"/>
      </top>
      <bottom style="double">
        <color rgb="FF339966"/>
      </bottom>
      <diagonal/>
    </border>
    <border>
      <left/>
      <right/>
      <top style="double">
        <color rgb="FF339966"/>
      </top>
      <bottom style="double">
        <color rgb="FF339966"/>
      </bottom>
      <diagonal/>
    </border>
    <border>
      <left/>
      <right/>
      <top style="double">
        <color rgb="FF339966"/>
      </top>
      <bottom style="double">
        <color rgb="FF339966"/>
      </bottom>
      <diagonal/>
    </border>
    <border>
      <left style="double">
        <color rgb="FF339966"/>
      </left>
      <right/>
      <top style="double">
        <color rgb="FF339966"/>
      </top>
      <bottom/>
      <diagonal/>
    </border>
    <border>
      <left/>
      <right/>
      <top style="double">
        <color rgb="FF339966"/>
      </top>
      <bottom/>
      <diagonal/>
    </border>
    <border>
      <left/>
      <right style="double">
        <color rgb="FF339966"/>
      </right>
      <top style="double">
        <color rgb="FF339966"/>
      </top>
      <bottom/>
      <diagonal/>
    </border>
    <border>
      <left style="thick">
        <color rgb="FFFF6600"/>
      </left>
      <right style="medium">
        <color rgb="FF3366FF"/>
      </right>
      <top style="medium">
        <color rgb="FF3366FF"/>
      </top>
      <bottom style="thick">
        <color rgb="FFFF6600"/>
      </bottom>
      <diagonal/>
    </border>
    <border>
      <left style="medium">
        <color rgb="FF3366FF"/>
      </left>
      <right/>
      <top style="medium">
        <color rgb="FF3366FF"/>
      </top>
      <bottom style="thick">
        <color rgb="FFFF6600"/>
      </bottom>
      <diagonal/>
    </border>
    <border>
      <left/>
      <right/>
      <top style="medium">
        <color rgb="FF3366FF"/>
      </top>
      <bottom style="thick">
        <color rgb="FFFF6600"/>
      </bottom>
      <diagonal/>
    </border>
    <border>
      <left/>
      <right style="thick">
        <color rgb="FFFF6600"/>
      </right>
      <top style="medium">
        <color rgb="FF3366FF"/>
      </top>
      <bottom style="thick">
        <color rgb="FFFF6600"/>
      </bottom>
      <diagonal/>
    </border>
    <border>
      <left style="double">
        <color rgb="FF339966"/>
      </left>
      <right/>
      <top/>
      <bottom/>
      <diagonal/>
    </border>
    <border>
      <left/>
      <right style="double">
        <color rgb="FF339966"/>
      </right>
      <top/>
      <bottom/>
      <diagonal/>
    </border>
    <border>
      <left style="double">
        <color rgb="FF339966"/>
      </left>
      <right/>
      <top/>
      <bottom style="double">
        <color rgb="FF339966"/>
      </bottom>
      <diagonal/>
    </border>
    <border>
      <left/>
      <right/>
      <top/>
      <bottom style="double">
        <color rgb="FF339966"/>
      </bottom>
      <diagonal/>
    </border>
    <border>
      <left/>
      <right style="double">
        <color rgb="FF339966"/>
      </right>
      <top/>
      <bottom style="double">
        <color rgb="FF339966"/>
      </bottom>
      <diagonal/>
    </border>
    <border>
      <left style="double">
        <color rgb="FFFF6600"/>
      </left>
      <right/>
      <top/>
      <bottom style="double">
        <color rgb="FFFF6600"/>
      </bottom>
      <diagonal/>
    </border>
    <border>
      <left/>
      <right/>
      <top/>
      <bottom style="double">
        <color rgb="FFFF6600"/>
      </bottom>
      <diagonal/>
    </border>
    <border>
      <left/>
      <right style="double">
        <color rgb="FFFF6600"/>
      </right>
      <top/>
      <bottom style="double">
        <color rgb="FFFF66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FFFF"/>
      </top>
      <bottom/>
      <diagonal/>
    </border>
    <border>
      <left/>
      <right style="medium">
        <color rgb="FF800080"/>
      </right>
      <top style="thin">
        <color rgb="FFFFFF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/>
      <top style="double">
        <color rgb="FF99CC00"/>
      </top>
      <bottom style="double">
        <color rgb="FF99CC00"/>
      </bottom>
      <diagonal/>
    </border>
  </borders>
  <cellStyleXfs count="1">
    <xf numFmtId="0" fontId="0" fillId="0" borderId="0"/>
  </cellStyleXfs>
  <cellXfs count="328">
    <xf numFmtId="0" fontId="0" fillId="0" borderId="0" xfId="0" applyFont="1" applyAlignment="1"/>
    <xf numFmtId="0" fontId="1" fillId="2" borderId="4" xfId="0" applyFont="1" applyFill="1" applyBorder="1" applyAlignment="1"/>
    <xf numFmtId="0" fontId="1" fillId="3" borderId="4" xfId="0" applyFont="1" applyFill="1" applyBorder="1" applyAlignment="1"/>
    <xf numFmtId="0" fontId="1" fillId="4" borderId="4" xfId="0" applyFont="1" applyFill="1" applyBorder="1" applyAlignment="1"/>
    <xf numFmtId="0" fontId="4" fillId="2" borderId="4" xfId="0" applyFont="1" applyFill="1" applyBorder="1" applyAlignment="1"/>
    <xf numFmtId="0" fontId="4" fillId="3" borderId="4" xfId="0" applyFont="1" applyFill="1" applyBorder="1" applyAlignment="1"/>
    <xf numFmtId="0" fontId="5" fillId="7" borderId="13" xfId="0" applyFont="1" applyFill="1" applyBorder="1" applyAlignment="1"/>
    <xf numFmtId="0" fontId="9" fillId="7" borderId="23" xfId="0" applyFont="1" applyFill="1" applyBorder="1" applyAlignment="1">
      <alignment horizontal="center"/>
    </xf>
    <xf numFmtId="0" fontId="5" fillId="12" borderId="28" xfId="0" applyFont="1" applyFill="1" applyBorder="1" applyAlignment="1">
      <alignment horizontal="center"/>
    </xf>
    <xf numFmtId="1" fontId="5" fillId="12" borderId="31" xfId="0" applyNumberFormat="1" applyFont="1" applyFill="1" applyBorder="1" applyAlignment="1">
      <alignment horizontal="center"/>
    </xf>
    <xf numFmtId="0" fontId="5" fillId="12" borderId="32" xfId="0" applyFont="1" applyFill="1" applyBorder="1" applyAlignment="1">
      <alignment horizontal="center"/>
    </xf>
    <xf numFmtId="1" fontId="1" fillId="14" borderId="34" xfId="0" applyNumberFormat="1" applyFont="1" applyFill="1" applyBorder="1" applyAlignment="1">
      <alignment horizontal="center"/>
    </xf>
    <xf numFmtId="0" fontId="6" fillId="6" borderId="35" xfId="0" applyFont="1" applyFill="1" applyBorder="1" applyAlignment="1">
      <alignment horizontal="center"/>
    </xf>
    <xf numFmtId="2" fontId="1" fillId="15" borderId="35" xfId="0" applyNumberFormat="1" applyFont="1" applyFill="1" applyBorder="1" applyAlignment="1">
      <alignment horizontal="center"/>
    </xf>
    <xf numFmtId="0" fontId="1" fillId="14" borderId="34" xfId="0" applyFont="1" applyFill="1" applyBorder="1" applyAlignment="1">
      <alignment horizontal="center"/>
    </xf>
    <xf numFmtId="2" fontId="1" fillId="14" borderId="34" xfId="0" applyNumberFormat="1" applyFont="1" applyFill="1" applyBorder="1" applyAlignment="1">
      <alignment horizontal="center"/>
    </xf>
    <xf numFmtId="2" fontId="1" fillId="14" borderId="36" xfId="0" applyNumberFormat="1" applyFont="1" applyFill="1" applyBorder="1" applyAlignment="1">
      <alignment horizontal="center"/>
    </xf>
    <xf numFmtId="0" fontId="6" fillId="6" borderId="28" xfId="0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2" fontId="1" fillId="3" borderId="37" xfId="0" applyNumberFormat="1" applyFont="1" applyFill="1" applyBorder="1" applyAlignment="1">
      <alignment horizontal="center"/>
    </xf>
    <xf numFmtId="164" fontId="1" fillId="3" borderId="13" xfId="0" applyNumberFormat="1" applyFont="1" applyFill="1" applyBorder="1" applyAlignment="1">
      <alignment horizontal="center"/>
    </xf>
    <xf numFmtId="0" fontId="1" fillId="3" borderId="38" xfId="0" applyFont="1" applyFill="1" applyBorder="1" applyAlignment="1">
      <alignment horizontal="center"/>
    </xf>
    <xf numFmtId="2" fontId="1" fillId="3" borderId="39" xfId="0" applyNumberFormat="1" applyFont="1" applyFill="1" applyBorder="1" applyAlignment="1">
      <alignment horizontal="center"/>
    </xf>
    <xf numFmtId="2" fontId="10" fillId="7" borderId="40" xfId="0" applyNumberFormat="1" applyFont="1" applyFill="1" applyBorder="1" applyAlignment="1">
      <alignment horizontal="center"/>
    </xf>
    <xf numFmtId="0" fontId="1" fillId="3" borderId="41" xfId="0" applyFont="1" applyFill="1" applyBorder="1" applyAlignment="1">
      <alignment horizontal="center"/>
    </xf>
    <xf numFmtId="164" fontId="1" fillId="3" borderId="41" xfId="0" applyNumberFormat="1" applyFont="1" applyFill="1" applyBorder="1" applyAlignment="1">
      <alignment horizontal="center"/>
    </xf>
    <xf numFmtId="0" fontId="1" fillId="3" borderId="45" xfId="0" applyFont="1" applyFill="1" applyBorder="1" applyAlignment="1">
      <alignment horizontal="center"/>
    </xf>
    <xf numFmtId="0" fontId="1" fillId="3" borderId="46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2" fontId="1" fillId="3" borderId="47" xfId="0" applyNumberFormat="1" applyFont="1" applyFill="1" applyBorder="1" applyAlignment="1">
      <alignment horizontal="center"/>
    </xf>
    <xf numFmtId="2" fontId="1" fillId="3" borderId="4" xfId="0" applyNumberFormat="1" applyFont="1" applyFill="1" applyBorder="1" applyAlignment="1"/>
    <xf numFmtId="0" fontId="12" fillId="7" borderId="48" xfId="0" applyFont="1" applyFill="1" applyBorder="1" applyAlignment="1">
      <alignment horizontal="center"/>
    </xf>
    <xf numFmtId="0" fontId="5" fillId="8" borderId="49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50" xfId="0" applyFont="1" applyFill="1" applyBorder="1" applyAlignment="1">
      <alignment horizontal="center"/>
    </xf>
    <xf numFmtId="0" fontId="11" fillId="18" borderId="52" xfId="0" applyFont="1" applyFill="1" applyBorder="1" applyAlignment="1">
      <alignment horizontal="center"/>
    </xf>
    <xf numFmtId="2" fontId="13" fillId="7" borderId="53" xfId="0" applyNumberFormat="1" applyFont="1" applyFill="1" applyBorder="1" applyAlignment="1">
      <alignment horizontal="center"/>
    </xf>
    <xf numFmtId="164" fontId="11" fillId="16" borderId="54" xfId="0" applyNumberFormat="1" applyFont="1" applyFill="1" applyBorder="1" applyAlignment="1">
      <alignment horizontal="center"/>
    </xf>
    <xf numFmtId="2" fontId="11" fillId="16" borderId="54" xfId="0" applyNumberFormat="1" applyFont="1" applyFill="1" applyBorder="1" applyAlignment="1">
      <alignment horizontal="center"/>
    </xf>
    <xf numFmtId="2" fontId="11" fillId="16" borderId="55" xfId="0" applyNumberFormat="1" applyFont="1" applyFill="1" applyBorder="1" applyAlignment="1">
      <alignment horizontal="center"/>
    </xf>
    <xf numFmtId="0" fontId="1" fillId="3" borderId="57" xfId="0" applyFont="1" applyFill="1" applyBorder="1" applyAlignment="1"/>
    <xf numFmtId="0" fontId="11" fillId="3" borderId="58" xfId="0" applyFont="1" applyFill="1" applyBorder="1" applyAlignment="1">
      <alignment horizontal="center"/>
    </xf>
    <xf numFmtId="2" fontId="11" fillId="3" borderId="58" xfId="0" applyNumberFormat="1" applyFont="1" applyFill="1" applyBorder="1" applyAlignment="1"/>
    <xf numFmtId="164" fontId="11" fillId="3" borderId="58" xfId="0" applyNumberFormat="1" applyFont="1" applyFill="1" applyBorder="1" applyAlignment="1"/>
    <xf numFmtId="164" fontId="11" fillId="3" borderId="57" xfId="0" applyNumberFormat="1" applyFont="1" applyFill="1" applyBorder="1" applyAlignment="1"/>
    <xf numFmtId="164" fontId="11" fillId="3" borderId="59" xfId="0" applyNumberFormat="1" applyFont="1" applyFill="1" applyBorder="1" applyAlignment="1"/>
    <xf numFmtId="2" fontId="11" fillId="3" borderId="60" xfId="0" applyNumberFormat="1" applyFont="1" applyFill="1" applyBorder="1" applyAlignment="1"/>
    <xf numFmtId="165" fontId="11" fillId="3" borderId="60" xfId="0" applyNumberFormat="1" applyFont="1" applyFill="1" applyBorder="1" applyAlignment="1"/>
    <xf numFmtId="165" fontId="11" fillId="3" borderId="57" xfId="0" applyNumberFormat="1" applyFont="1" applyFill="1" applyBorder="1" applyAlignment="1"/>
    <xf numFmtId="165" fontId="11" fillId="3" borderId="61" xfId="0" applyNumberFormat="1" applyFont="1" applyFill="1" applyBorder="1" applyAlignment="1"/>
    <xf numFmtId="0" fontId="11" fillId="3" borderId="65" xfId="0" applyFont="1" applyFill="1" applyBorder="1" applyAlignment="1">
      <alignment horizontal="center"/>
    </xf>
    <xf numFmtId="0" fontId="11" fillId="3" borderId="28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2" fontId="14" fillId="3" borderId="4" xfId="0" applyNumberFormat="1" applyFont="1" applyFill="1" applyBorder="1" applyAlignment="1"/>
    <xf numFmtId="164" fontId="1" fillId="3" borderId="4" xfId="0" applyNumberFormat="1" applyFont="1" applyFill="1" applyBorder="1" applyAlignment="1"/>
    <xf numFmtId="2" fontId="1" fillId="3" borderId="66" xfId="0" applyNumberFormat="1" applyFont="1" applyFill="1" applyBorder="1" applyAlignment="1"/>
    <xf numFmtId="0" fontId="1" fillId="3" borderId="69" xfId="0" applyFont="1" applyFill="1" applyBorder="1" applyAlignment="1"/>
    <xf numFmtId="0" fontId="1" fillId="3" borderId="13" xfId="0" applyFont="1" applyFill="1" applyBorder="1" applyAlignment="1"/>
    <xf numFmtId="164" fontId="5" fillId="3" borderId="13" xfId="0" applyNumberFormat="1" applyFont="1" applyFill="1" applyBorder="1" applyAlignment="1"/>
    <xf numFmtId="0" fontId="5" fillId="3" borderId="13" xfId="0" applyFont="1" applyFill="1" applyBorder="1" applyAlignment="1"/>
    <xf numFmtId="0" fontId="15" fillId="3" borderId="4" xfId="0" applyFont="1" applyFill="1" applyBorder="1" applyAlignment="1"/>
    <xf numFmtId="0" fontId="14" fillId="3" borderId="4" xfId="0" applyFont="1" applyFill="1" applyBorder="1" applyAlignment="1"/>
    <xf numFmtId="0" fontId="11" fillId="3" borderId="4" xfId="0" applyFont="1" applyFill="1" applyBorder="1" applyAlignment="1"/>
    <xf numFmtId="0" fontId="5" fillId="3" borderId="70" xfId="0" applyFont="1" applyFill="1" applyBorder="1" applyAlignment="1"/>
    <xf numFmtId="164" fontId="11" fillId="3" borderId="71" xfId="0" applyNumberFormat="1" applyFont="1" applyFill="1" applyBorder="1" applyAlignment="1">
      <alignment horizontal="center"/>
    </xf>
    <xf numFmtId="2" fontId="11" fillId="3" borderId="72" xfId="0" applyNumberFormat="1" applyFont="1" applyFill="1" applyBorder="1" applyAlignment="1">
      <alignment horizontal="center"/>
    </xf>
    <xf numFmtId="0" fontId="11" fillId="3" borderId="72" xfId="0" applyFont="1" applyFill="1" applyBorder="1" applyAlignment="1">
      <alignment horizontal="center"/>
    </xf>
    <xf numFmtId="0" fontId="1" fillId="3" borderId="72" xfId="0" applyFont="1" applyFill="1" applyBorder="1" applyAlignment="1">
      <alignment horizontal="center"/>
    </xf>
    <xf numFmtId="164" fontId="5" fillId="3" borderId="72" xfId="0" applyNumberFormat="1" applyFont="1" applyFill="1" applyBorder="1" applyAlignment="1">
      <alignment horizontal="center"/>
    </xf>
    <xf numFmtId="0" fontId="4" fillId="3" borderId="72" xfId="0" applyFont="1" applyFill="1" applyBorder="1" applyAlignment="1">
      <alignment horizontal="center"/>
    </xf>
    <xf numFmtId="0" fontId="14" fillId="3" borderId="72" xfId="0" applyFont="1" applyFill="1" applyBorder="1" applyAlignment="1">
      <alignment horizontal="center"/>
    </xf>
    <xf numFmtId="0" fontId="1" fillId="3" borderId="73" xfId="0" applyFont="1" applyFill="1" applyBorder="1" applyAlignment="1">
      <alignment horizontal="center"/>
    </xf>
    <xf numFmtId="0" fontId="1" fillId="3" borderId="66" xfId="0" applyFont="1" applyFill="1" applyBorder="1" applyAlignment="1"/>
    <xf numFmtId="164" fontId="11" fillId="3" borderId="74" xfId="0" applyNumberFormat="1" applyFont="1" applyFill="1" applyBorder="1" applyAlignment="1">
      <alignment horizontal="center"/>
    </xf>
    <xf numFmtId="2" fontId="11" fillId="3" borderId="4" xfId="0" applyNumberFormat="1" applyFont="1" applyFill="1" applyBorder="1" applyAlignment="1">
      <alignment horizontal="center"/>
    </xf>
    <xf numFmtId="164" fontId="5" fillId="3" borderId="4" xfId="0" applyNumberFormat="1" applyFont="1" applyFill="1" applyBorder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" fillId="3" borderId="78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1" fillId="3" borderId="74" xfId="0" applyFont="1" applyFill="1" applyBorder="1" applyAlignment="1">
      <alignment horizontal="center"/>
    </xf>
    <xf numFmtId="0" fontId="11" fillId="21" borderId="80" xfId="0" applyFont="1" applyFill="1" applyBorder="1" applyAlignment="1">
      <alignment horizontal="center"/>
    </xf>
    <xf numFmtId="164" fontId="1" fillId="15" borderId="4" xfId="0" applyNumberFormat="1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3" borderId="74" xfId="0" applyFont="1" applyFill="1" applyBorder="1" applyAlignment="1">
      <alignment horizontal="center"/>
    </xf>
    <xf numFmtId="1" fontId="1" fillId="15" borderId="4" xfId="0" applyNumberFormat="1" applyFont="1" applyFill="1" applyBorder="1" applyAlignment="1">
      <alignment horizontal="center"/>
    </xf>
    <xf numFmtId="2" fontId="1" fillId="15" borderId="4" xfId="0" applyNumberFormat="1" applyFont="1" applyFill="1" applyBorder="1" applyAlignment="1">
      <alignment horizontal="center"/>
    </xf>
    <xf numFmtId="0" fontId="1" fillId="3" borderId="81" xfId="0" applyFont="1" applyFill="1" applyBorder="1" applyAlignment="1">
      <alignment horizontal="center"/>
    </xf>
    <xf numFmtId="164" fontId="19" fillId="3" borderId="85" xfId="0" applyNumberFormat="1" applyFont="1" applyFill="1" applyBorder="1" applyAlignment="1">
      <alignment horizontal="center"/>
    </xf>
    <xf numFmtId="0" fontId="1" fillId="3" borderId="89" xfId="0" applyFont="1" applyFill="1" applyBorder="1" applyAlignment="1">
      <alignment horizontal="center"/>
    </xf>
    <xf numFmtId="0" fontId="1" fillId="3" borderId="70" xfId="0" applyFont="1" applyFill="1" applyBorder="1" applyAlignment="1">
      <alignment horizontal="center"/>
    </xf>
    <xf numFmtId="0" fontId="1" fillId="3" borderId="90" xfId="0" applyFont="1" applyFill="1" applyBorder="1" applyAlignment="1">
      <alignment horizontal="center"/>
    </xf>
    <xf numFmtId="0" fontId="19" fillId="14" borderId="91" xfId="0" applyFont="1" applyFill="1" applyBorder="1" applyAlignment="1">
      <alignment horizontal="center"/>
    </xf>
    <xf numFmtId="0" fontId="20" fillId="3" borderId="4" xfId="0" applyFont="1" applyFill="1" applyBorder="1" applyAlignment="1"/>
    <xf numFmtId="0" fontId="21" fillId="3" borderId="4" xfId="0" applyFont="1" applyFill="1" applyBorder="1" applyAlignment="1">
      <alignment horizontal="center"/>
    </xf>
    <xf numFmtId="0" fontId="22" fillId="12" borderId="95" xfId="0" applyFont="1" applyFill="1" applyBorder="1" applyAlignment="1">
      <alignment horizontal="center"/>
    </xf>
    <xf numFmtId="0" fontId="1" fillId="3" borderId="99" xfId="0" applyFont="1" applyFill="1" applyBorder="1" applyAlignment="1">
      <alignment horizontal="center"/>
    </xf>
    <xf numFmtId="0" fontId="1" fillId="3" borderId="100" xfId="0" applyFont="1" applyFill="1" applyBorder="1" applyAlignment="1"/>
    <xf numFmtId="0" fontId="1" fillId="3" borderId="100" xfId="0" applyFont="1" applyFill="1" applyBorder="1" applyAlignment="1">
      <alignment horizontal="center"/>
    </xf>
    <xf numFmtId="0" fontId="11" fillId="3" borderId="100" xfId="0" applyFont="1" applyFill="1" applyBorder="1" applyAlignment="1">
      <alignment horizontal="center"/>
    </xf>
    <xf numFmtId="0" fontId="1" fillId="3" borderId="101" xfId="0" applyFont="1" applyFill="1" applyBorder="1" applyAlignment="1">
      <alignment horizontal="center"/>
    </xf>
    <xf numFmtId="0" fontId="22" fillId="12" borderId="102" xfId="0" applyFont="1" applyFill="1" applyBorder="1" applyAlignment="1">
      <alignment horizontal="center"/>
    </xf>
    <xf numFmtId="0" fontId="5" fillId="3" borderId="4" xfId="0" applyFont="1" applyFill="1" applyBorder="1" applyAlignment="1"/>
    <xf numFmtId="0" fontId="1" fillId="3" borderId="106" xfId="0" applyFont="1" applyFill="1" applyBorder="1" applyAlignment="1">
      <alignment horizontal="center"/>
    </xf>
    <xf numFmtId="0" fontId="1" fillId="3" borderId="107" xfId="0" applyFont="1" applyFill="1" applyBorder="1" applyAlignment="1">
      <alignment horizontal="center"/>
    </xf>
    <xf numFmtId="1" fontId="11" fillId="3" borderId="4" xfId="0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26" fillId="3" borderId="4" xfId="0" applyFont="1" applyFill="1" applyBorder="1" applyAlignment="1">
      <alignment horizontal="center"/>
    </xf>
    <xf numFmtId="0" fontId="27" fillId="3" borderId="4" xfId="0" applyFont="1" applyFill="1" applyBorder="1" applyAlignment="1">
      <alignment horizontal="center"/>
    </xf>
    <xf numFmtId="0" fontId="28" fillId="3" borderId="4" xfId="0" applyFont="1" applyFill="1" applyBorder="1" applyAlignment="1">
      <alignment horizontal="center"/>
    </xf>
    <xf numFmtId="1" fontId="14" fillId="3" borderId="4" xfId="0" applyNumberFormat="1" applyFont="1" applyFill="1" applyBorder="1" applyAlignment="1">
      <alignment horizontal="center"/>
    </xf>
    <xf numFmtId="0" fontId="1" fillId="3" borderId="106" xfId="0" applyFont="1" applyFill="1" applyBorder="1" applyAlignment="1"/>
    <xf numFmtId="0" fontId="24" fillId="13" borderId="111" xfId="0" applyFont="1" applyFill="1" applyBorder="1" applyAlignment="1">
      <alignment horizontal="center"/>
    </xf>
    <xf numFmtId="0" fontId="25" fillId="13" borderId="112" xfId="0" applyFont="1" applyFill="1" applyBorder="1" applyAlignment="1">
      <alignment horizontal="center"/>
    </xf>
    <xf numFmtId="0" fontId="18" fillId="13" borderId="112" xfId="0" applyFont="1" applyFill="1" applyBorder="1" applyAlignment="1">
      <alignment horizontal="center"/>
    </xf>
    <xf numFmtId="0" fontId="26" fillId="13" borderId="112" xfId="0" applyFont="1" applyFill="1" applyBorder="1" applyAlignment="1">
      <alignment horizontal="center"/>
    </xf>
    <xf numFmtId="0" fontId="27" fillId="13" borderId="112" xfId="0" applyFont="1" applyFill="1" applyBorder="1" applyAlignment="1">
      <alignment horizontal="center"/>
    </xf>
    <xf numFmtId="0" fontId="28" fillId="13" borderId="113" xfId="0" applyFont="1" applyFill="1" applyBorder="1" applyAlignment="1">
      <alignment horizontal="center"/>
    </xf>
    <xf numFmtId="0" fontId="1" fillId="3" borderId="107" xfId="0" applyFont="1" applyFill="1" applyBorder="1" applyAlignment="1"/>
    <xf numFmtId="0" fontId="1" fillId="13" borderId="118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119" xfId="0" applyFont="1" applyFill="1" applyBorder="1" applyAlignment="1">
      <alignment horizontal="center"/>
    </xf>
    <xf numFmtId="1" fontId="11" fillId="13" borderId="120" xfId="0" applyNumberFormat="1" applyFont="1" applyFill="1" applyBorder="1" applyAlignment="1">
      <alignment horizontal="center"/>
    </xf>
    <xf numFmtId="1" fontId="11" fillId="13" borderId="121" xfId="0" applyNumberFormat="1" applyFont="1" applyFill="1" applyBorder="1" applyAlignment="1">
      <alignment horizontal="center"/>
    </xf>
    <xf numFmtId="1" fontId="11" fillId="13" borderId="122" xfId="0" applyNumberFormat="1" applyFont="1" applyFill="1" applyBorder="1" applyAlignment="1">
      <alignment horizontal="center"/>
    </xf>
    <xf numFmtId="164" fontId="11" fillId="3" borderId="4" xfId="0" applyNumberFormat="1" applyFont="1" applyFill="1" applyBorder="1" applyAlignment="1">
      <alignment horizontal="center"/>
    </xf>
    <xf numFmtId="0" fontId="30" fillId="3" borderId="4" xfId="0" applyFont="1" applyFill="1" applyBorder="1" applyAlignment="1">
      <alignment horizontal="center"/>
    </xf>
    <xf numFmtId="0" fontId="31" fillId="3" borderId="4" xfId="0" applyFont="1" applyFill="1" applyBorder="1" applyAlignment="1">
      <alignment horizontal="center"/>
    </xf>
    <xf numFmtId="0" fontId="32" fillId="3" borderId="4" xfId="0" applyFont="1" applyFill="1" applyBorder="1" applyAlignment="1">
      <alignment horizontal="center"/>
    </xf>
    <xf numFmtId="0" fontId="33" fillId="3" borderId="4" xfId="0" applyFont="1" applyFill="1" applyBorder="1" applyAlignment="1">
      <alignment horizontal="center"/>
    </xf>
    <xf numFmtId="0" fontId="34" fillId="3" borderId="4" xfId="0" applyFont="1" applyFill="1" applyBorder="1" applyAlignment="1">
      <alignment horizontal="left"/>
    </xf>
    <xf numFmtId="0" fontId="35" fillId="3" borderId="4" xfId="0" applyFont="1" applyFill="1" applyBorder="1" applyAlignment="1">
      <alignment horizontal="center"/>
    </xf>
    <xf numFmtId="0" fontId="36" fillId="3" borderId="4" xfId="0" applyFont="1" applyFill="1" applyBorder="1" applyAlignment="1">
      <alignment horizontal="center"/>
    </xf>
    <xf numFmtId="0" fontId="36" fillId="3" borderId="107" xfId="0" applyFont="1" applyFill="1" applyBorder="1" applyAlignment="1">
      <alignment horizontal="center"/>
    </xf>
    <xf numFmtId="0" fontId="37" fillId="3" borderId="4" xfId="0" applyFont="1" applyFill="1" applyBorder="1" applyAlignment="1"/>
    <xf numFmtId="0" fontId="30" fillId="21" borderId="111" xfId="0" applyFont="1" applyFill="1" applyBorder="1" applyAlignment="1">
      <alignment horizontal="center"/>
    </xf>
    <xf numFmtId="0" fontId="31" fillId="21" borderId="112" xfId="0" applyFont="1" applyFill="1" applyBorder="1" applyAlignment="1">
      <alignment horizontal="center"/>
    </xf>
    <xf numFmtId="0" fontId="32" fillId="21" borderId="112" xfId="0" applyFont="1" applyFill="1" applyBorder="1" applyAlignment="1">
      <alignment horizontal="center"/>
    </xf>
    <xf numFmtId="0" fontId="25" fillId="21" borderId="112" xfId="0" applyFont="1" applyFill="1" applyBorder="1" applyAlignment="1">
      <alignment horizontal="center"/>
    </xf>
    <xf numFmtId="0" fontId="27" fillId="21" borderId="112" xfId="0" applyFont="1" applyFill="1" applyBorder="1" applyAlignment="1">
      <alignment horizontal="center"/>
    </xf>
    <xf numFmtId="0" fontId="33" fillId="21" borderId="113" xfId="0" applyFont="1" applyFill="1" applyBorder="1" applyAlignment="1">
      <alignment horizontal="center"/>
    </xf>
    <xf numFmtId="0" fontId="1" fillId="21" borderId="118" xfId="0" applyFont="1" applyFill="1" applyBorder="1" applyAlignment="1">
      <alignment horizontal="center"/>
    </xf>
    <xf numFmtId="0" fontId="1" fillId="21" borderId="4" xfId="0" applyFont="1" applyFill="1" applyBorder="1" applyAlignment="1">
      <alignment horizontal="center"/>
    </xf>
    <xf numFmtId="0" fontId="1" fillId="21" borderId="119" xfId="0" applyFont="1" applyFill="1" applyBorder="1" applyAlignment="1">
      <alignment horizontal="center"/>
    </xf>
    <xf numFmtId="164" fontId="11" fillId="21" borderId="120" xfId="0" applyNumberFormat="1" applyFont="1" applyFill="1" applyBorder="1" applyAlignment="1">
      <alignment horizontal="center"/>
    </xf>
    <xf numFmtId="164" fontId="11" fillId="21" borderId="121" xfId="0" applyNumberFormat="1" applyFont="1" applyFill="1" applyBorder="1" applyAlignment="1">
      <alignment horizontal="center"/>
    </xf>
    <xf numFmtId="164" fontId="11" fillId="21" borderId="122" xfId="0" applyNumberFormat="1" applyFont="1" applyFill="1" applyBorder="1" applyAlignment="1">
      <alignment horizontal="center"/>
    </xf>
    <xf numFmtId="0" fontId="38" fillId="3" borderId="4" xfId="0" applyFont="1" applyFill="1" applyBorder="1" applyAlignment="1"/>
    <xf numFmtId="0" fontId="1" fillId="3" borderId="123" xfId="0" applyFont="1" applyFill="1" applyBorder="1" applyAlignment="1"/>
    <xf numFmtId="0" fontId="38" fillId="3" borderId="124" xfId="0" applyFont="1" applyFill="1" applyBorder="1" applyAlignment="1"/>
    <xf numFmtId="0" fontId="1" fillId="3" borderId="124" xfId="0" applyFont="1" applyFill="1" applyBorder="1" applyAlignment="1"/>
    <xf numFmtId="0" fontId="1" fillId="3" borderId="125" xfId="0" applyFont="1" applyFill="1" applyBorder="1" applyAlignment="1"/>
    <xf numFmtId="2" fontId="48" fillId="15" borderId="34" xfId="0" applyNumberFormat="1" applyFont="1" applyFill="1" applyBorder="1" applyAlignment="1">
      <alignment horizontal="center"/>
    </xf>
    <xf numFmtId="164" fontId="11" fillId="24" borderId="4" xfId="0" applyNumberFormat="1" applyFont="1" applyFill="1" applyBorder="1" applyAlignment="1">
      <alignment horizontal="center"/>
    </xf>
    <xf numFmtId="2" fontId="11" fillId="24" borderId="4" xfId="0" applyNumberFormat="1" applyFont="1" applyFill="1" applyBorder="1" applyAlignment="1">
      <alignment horizontal="center"/>
    </xf>
    <xf numFmtId="0" fontId="0" fillId="23" borderId="0" xfId="0" applyFont="1" applyFill="1" applyAlignment="1"/>
    <xf numFmtId="0" fontId="1" fillId="25" borderId="4" xfId="0" applyFont="1" applyFill="1" applyBorder="1" applyAlignment="1"/>
    <xf numFmtId="0" fontId="1" fillId="23" borderId="4" xfId="0" applyFont="1" applyFill="1" applyBorder="1" applyAlignment="1"/>
    <xf numFmtId="164" fontId="54" fillId="3" borderId="85" xfId="0" applyNumberFormat="1" applyFont="1" applyFill="1" applyBorder="1" applyAlignment="1">
      <alignment horizontal="center"/>
    </xf>
    <xf numFmtId="0" fontId="51" fillId="0" borderId="126" xfId="0" applyFont="1" applyBorder="1" applyAlignment="1">
      <alignment horizontal="center"/>
    </xf>
    <xf numFmtId="1" fontId="49" fillId="14" borderId="34" xfId="0" applyNumberFormat="1" applyFont="1" applyFill="1" applyBorder="1" applyAlignment="1">
      <alignment horizontal="center"/>
    </xf>
    <xf numFmtId="0" fontId="55" fillId="6" borderId="28" xfId="0" applyFont="1" applyFill="1" applyBorder="1" applyAlignment="1">
      <alignment horizontal="center"/>
    </xf>
    <xf numFmtId="0" fontId="49" fillId="14" borderId="34" xfId="0" applyFont="1" applyFill="1" applyBorder="1" applyAlignment="1">
      <alignment horizontal="center"/>
    </xf>
    <xf numFmtId="2" fontId="49" fillId="14" borderId="34" xfId="0" applyNumberFormat="1" applyFont="1" applyFill="1" applyBorder="1" applyAlignment="1">
      <alignment horizontal="center"/>
    </xf>
    <xf numFmtId="2" fontId="49" fillId="14" borderId="36" xfId="0" applyNumberFormat="1" applyFont="1" applyFill="1" applyBorder="1" applyAlignment="1">
      <alignment horizontal="center"/>
    </xf>
    <xf numFmtId="0" fontId="56" fillId="12" borderId="28" xfId="0" applyFont="1" applyFill="1" applyBorder="1" applyAlignment="1">
      <alignment horizontal="center"/>
    </xf>
    <xf numFmtId="0" fontId="57" fillId="26" borderId="30" xfId="0" applyFont="1" applyFill="1" applyBorder="1" applyAlignment="1">
      <alignment horizontal="center"/>
    </xf>
    <xf numFmtId="0" fontId="49" fillId="3" borderId="29" xfId="0" applyFont="1" applyFill="1" applyBorder="1" applyAlignment="1"/>
    <xf numFmtId="0" fontId="47" fillId="27" borderId="33" xfId="0" applyFont="1" applyFill="1" applyBorder="1" applyAlignment="1"/>
    <xf numFmtId="0" fontId="52" fillId="27" borderId="33" xfId="0" applyFont="1" applyFill="1" applyBorder="1" applyAlignment="1"/>
    <xf numFmtId="0" fontId="0" fillId="0" borderId="4" xfId="0" applyFont="1" applyBorder="1" applyAlignment="1">
      <alignment horizontal="center"/>
    </xf>
    <xf numFmtId="2" fontId="48" fillId="29" borderId="34" xfId="0" applyNumberFormat="1" applyFont="1" applyFill="1" applyBorder="1" applyAlignment="1">
      <alignment horizontal="center"/>
    </xf>
    <xf numFmtId="1" fontId="48" fillId="29" borderId="34" xfId="0" applyNumberFormat="1" applyFont="1" applyFill="1" applyBorder="1" applyAlignment="1">
      <alignment horizontal="center"/>
    </xf>
    <xf numFmtId="0" fontId="19" fillId="14" borderId="93" xfId="0" applyFont="1" applyFill="1" applyBorder="1" applyAlignment="1">
      <alignment horizontal="center"/>
    </xf>
    <xf numFmtId="0" fontId="22" fillId="12" borderId="97" xfId="0" applyFont="1" applyFill="1" applyBorder="1" applyAlignment="1">
      <alignment horizontal="center"/>
    </xf>
    <xf numFmtId="0" fontId="22" fillId="12" borderId="104" xfId="0" applyFont="1" applyFill="1" applyBorder="1" applyAlignment="1">
      <alignment horizontal="center"/>
    </xf>
    <xf numFmtId="0" fontId="22" fillId="12" borderId="116" xfId="0" applyFont="1" applyFill="1" applyBorder="1" applyAlignment="1">
      <alignment horizontal="center"/>
    </xf>
    <xf numFmtId="0" fontId="51" fillId="0" borderId="131" xfId="0" applyFont="1" applyBorder="1" applyAlignment="1">
      <alignment horizontal="center"/>
    </xf>
    <xf numFmtId="164" fontId="59" fillId="10" borderId="29" xfId="0" applyNumberFormat="1" applyFont="1" applyFill="1" applyBorder="1" applyAlignment="1">
      <alignment horizontal="center"/>
    </xf>
    <xf numFmtId="0" fontId="56" fillId="10" borderId="21" xfId="0" applyFont="1" applyFill="1" applyBorder="1" applyAlignment="1">
      <alignment horizontal="center"/>
    </xf>
    <xf numFmtId="0" fontId="47" fillId="27" borderId="68" xfId="0" applyFont="1" applyFill="1" applyBorder="1" applyAlignment="1">
      <alignment horizontal="center"/>
    </xf>
    <xf numFmtId="0" fontId="11" fillId="22" borderId="131" xfId="0" applyFont="1" applyFill="1" applyBorder="1" applyAlignment="1">
      <alignment horizontal="center"/>
    </xf>
    <xf numFmtId="0" fontId="11" fillId="22" borderId="126" xfId="0" applyFont="1" applyFill="1" applyBorder="1" applyAlignment="1">
      <alignment horizontal="center"/>
    </xf>
    <xf numFmtId="0" fontId="50" fillId="0" borderId="131" xfId="0" applyFont="1" applyBorder="1" applyAlignment="1">
      <alignment horizontal="center"/>
    </xf>
    <xf numFmtId="0" fontId="51" fillId="0" borderId="4" xfId="0" applyFont="1" applyFill="1" applyBorder="1" applyAlignment="1">
      <alignment horizontal="center" vertical="center"/>
    </xf>
    <xf numFmtId="0" fontId="0" fillId="0" borderId="126" xfId="0" applyFont="1" applyBorder="1" applyAlignment="1"/>
    <xf numFmtId="0" fontId="0" fillId="32" borderId="0" xfId="0" applyFont="1" applyFill="1" applyAlignment="1"/>
    <xf numFmtId="0" fontId="5" fillId="12" borderId="126" xfId="0" applyFont="1" applyFill="1" applyBorder="1" applyAlignment="1">
      <alignment horizontal="center"/>
    </xf>
    <xf numFmtId="2" fontId="49" fillId="28" borderId="126" xfId="0" applyNumberFormat="1" applyFont="1" applyFill="1" applyBorder="1" applyAlignment="1">
      <alignment horizontal="center"/>
    </xf>
    <xf numFmtId="0" fontId="6" fillId="6" borderId="141" xfId="0" applyFont="1" applyFill="1" applyBorder="1" applyAlignment="1">
      <alignment horizontal="center"/>
    </xf>
    <xf numFmtId="2" fontId="52" fillId="34" borderId="126" xfId="0" applyNumberFormat="1" applyFont="1" applyFill="1" applyBorder="1" applyAlignment="1">
      <alignment horizontal="center"/>
    </xf>
    <xf numFmtId="2" fontId="51" fillId="33" borderId="126" xfId="0" applyNumberFormat="1" applyFont="1" applyFill="1" applyBorder="1" applyAlignment="1">
      <alignment horizontal="center"/>
    </xf>
    <xf numFmtId="164" fontId="51" fillId="33" borderId="126" xfId="0" applyNumberFormat="1" applyFont="1" applyFill="1" applyBorder="1" applyAlignment="1">
      <alignment horizontal="center"/>
    </xf>
    <xf numFmtId="165" fontId="60" fillId="33" borderId="126" xfId="0" applyNumberFormat="1" applyFont="1" applyFill="1" applyBorder="1" applyAlignment="1">
      <alignment horizontal="center"/>
    </xf>
    <xf numFmtId="2" fontId="0" fillId="33" borderId="126" xfId="0" applyNumberFormat="1" applyFont="1" applyFill="1" applyBorder="1" applyAlignment="1">
      <alignment horizontal="center"/>
    </xf>
    <xf numFmtId="0" fontId="47" fillId="27" borderId="27" xfId="0" applyFont="1" applyFill="1" applyBorder="1" applyAlignment="1"/>
    <xf numFmtId="0" fontId="0" fillId="0" borderId="0" xfId="0" applyFont="1" applyAlignment="1">
      <alignment horizontal="center"/>
    </xf>
    <xf numFmtId="0" fontId="0" fillId="28" borderId="126" xfId="0" applyFont="1" applyFill="1" applyBorder="1" applyAlignment="1">
      <alignment horizontal="center"/>
    </xf>
    <xf numFmtId="0" fontId="0" fillId="23" borderId="4" xfId="0" applyFont="1" applyFill="1" applyBorder="1" applyAlignment="1"/>
    <xf numFmtId="0" fontId="2" fillId="0" borderId="51" xfId="0" applyFont="1" applyBorder="1" applyAlignment="1"/>
    <xf numFmtId="0" fontId="1" fillId="3" borderId="142" xfId="0" applyFont="1" applyFill="1" applyBorder="1" applyAlignment="1"/>
    <xf numFmtId="0" fontId="49" fillId="18" borderId="143" xfId="0" applyFont="1" applyFill="1" applyBorder="1" applyAlignment="1"/>
    <xf numFmtId="9" fontId="50" fillId="0" borderId="133" xfId="0" applyNumberFormat="1" applyFont="1" applyBorder="1" applyAlignment="1">
      <alignment horizontal="center"/>
    </xf>
    <xf numFmtId="0" fontId="50" fillId="0" borderId="4" xfId="0" applyFont="1" applyBorder="1" applyAlignment="1">
      <alignment horizontal="center"/>
    </xf>
    <xf numFmtId="0" fontId="0" fillId="0" borderId="4" xfId="0" applyFont="1" applyBorder="1" applyAlignment="1"/>
    <xf numFmtId="0" fontId="50" fillId="0" borderId="0" xfId="0" applyFont="1" applyAlignment="1"/>
    <xf numFmtId="0" fontId="61" fillId="35" borderId="30" xfId="0" applyFont="1" applyFill="1" applyBorder="1" applyAlignment="1">
      <alignment horizontal="center"/>
    </xf>
    <xf numFmtId="0" fontId="5" fillId="25" borderId="4" xfId="0" applyFont="1" applyFill="1" applyBorder="1" applyAlignment="1"/>
    <xf numFmtId="0" fontId="17" fillId="25" borderId="1" xfId="0" applyFont="1" applyFill="1" applyBorder="1" applyAlignment="1"/>
    <xf numFmtId="0" fontId="2" fillId="23" borderId="2" xfId="0" applyFont="1" applyFill="1" applyBorder="1" applyAlignment="1"/>
    <xf numFmtId="0" fontId="2" fillId="23" borderId="3" xfId="0" applyFont="1" applyFill="1" applyBorder="1" applyAlignment="1"/>
    <xf numFmtId="0" fontId="1" fillId="25" borderId="4" xfId="0" applyFont="1" applyFill="1" applyBorder="1" applyAlignment="1">
      <alignment horizontal="center"/>
    </xf>
    <xf numFmtId="0" fontId="62" fillId="12" borderId="114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9" fillId="15" borderId="108" xfId="0" applyFont="1" applyFill="1" applyBorder="1" applyAlignment="1">
      <alignment horizontal="center"/>
    </xf>
    <xf numFmtId="0" fontId="2" fillId="0" borderId="109" xfId="0" applyFont="1" applyBorder="1"/>
    <xf numFmtId="0" fontId="2" fillId="0" borderId="110" xfId="0" applyFont="1" applyBorder="1"/>
    <xf numFmtId="0" fontId="1" fillId="23" borderId="4" xfId="0" applyFont="1" applyFill="1" applyBorder="1" applyAlignment="1">
      <alignment horizontal="center"/>
    </xf>
    <xf numFmtId="0" fontId="0" fillId="23" borderId="4" xfId="0" applyFont="1" applyFill="1" applyBorder="1" applyAlignment="1"/>
    <xf numFmtId="0" fontId="1" fillId="3" borderId="79" xfId="0" applyFont="1" applyFill="1" applyBorder="1" applyAlignment="1">
      <alignment horizontal="center"/>
    </xf>
    <xf numFmtId="0" fontId="48" fillId="3" borderId="127" xfId="0" applyFont="1" applyFill="1" applyBorder="1" applyAlignment="1">
      <alignment horizontal="center"/>
    </xf>
    <xf numFmtId="0" fontId="48" fillId="3" borderId="128" xfId="0" applyFont="1" applyFill="1" applyBorder="1" applyAlignment="1">
      <alignment horizontal="center"/>
    </xf>
    <xf numFmtId="0" fontId="16" fillId="3" borderId="75" xfId="0" applyFont="1" applyFill="1" applyBorder="1" applyAlignment="1">
      <alignment horizontal="center"/>
    </xf>
    <xf numFmtId="0" fontId="2" fillId="0" borderId="76" xfId="0" applyFont="1" applyBorder="1"/>
    <xf numFmtId="0" fontId="2" fillId="0" borderId="77" xfId="0" applyFont="1" applyBorder="1"/>
    <xf numFmtId="0" fontId="1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23" borderId="4" xfId="0" applyNumberFormat="1" applyFont="1" applyFill="1" applyBorder="1" applyAlignment="1">
      <alignment horizontal="center"/>
    </xf>
    <xf numFmtId="0" fontId="5" fillId="12" borderId="103" xfId="0" applyFont="1" applyFill="1" applyBorder="1" applyAlignment="1">
      <alignment horizontal="center"/>
    </xf>
    <xf numFmtId="0" fontId="2" fillId="0" borderId="104" xfId="0" applyFont="1" applyBorder="1"/>
    <xf numFmtId="0" fontId="2" fillId="0" borderId="105" xfId="0" applyFont="1" applyBorder="1"/>
    <xf numFmtId="0" fontId="5" fillId="12" borderId="115" xfId="0" applyFont="1" applyFill="1" applyBorder="1" applyAlignment="1">
      <alignment horizontal="center"/>
    </xf>
    <xf numFmtId="0" fontId="2" fillId="0" borderId="116" xfId="0" applyFont="1" applyBorder="1"/>
    <xf numFmtId="0" fontId="2" fillId="0" borderId="117" xfId="0" applyFont="1" applyBorder="1"/>
    <xf numFmtId="0" fontId="17" fillId="25" borderId="1" xfId="0" applyFont="1" applyFill="1" applyBorder="1" applyAlignment="1">
      <alignment horizontal="center"/>
    </xf>
    <xf numFmtId="0" fontId="11" fillId="13" borderId="63" xfId="0" applyFont="1" applyFill="1" applyBorder="1" applyAlignment="1">
      <alignment horizontal="center"/>
    </xf>
    <xf numFmtId="0" fontId="2" fillId="0" borderId="64" xfId="0" applyFont="1" applyBorder="1"/>
    <xf numFmtId="0" fontId="11" fillId="20" borderId="18" xfId="0" applyFont="1" applyFill="1" applyBorder="1" applyAlignment="1">
      <alignment horizontal="center"/>
    </xf>
    <xf numFmtId="0" fontId="2" fillId="0" borderId="20" xfId="0" applyFont="1" applyBorder="1"/>
    <xf numFmtId="0" fontId="23" fillId="12" borderId="103" xfId="0" applyFont="1" applyFill="1" applyBorder="1" applyAlignment="1">
      <alignment horizontal="center"/>
    </xf>
    <xf numFmtId="0" fontId="11" fillId="2" borderId="67" xfId="0" applyFont="1" applyFill="1" applyBorder="1" applyAlignment="1">
      <alignment horizontal="center"/>
    </xf>
    <xf numFmtId="0" fontId="2" fillId="0" borderId="68" xfId="0" applyFont="1" applyBorder="1"/>
    <xf numFmtId="0" fontId="11" fillId="19" borderId="62" xfId="0" applyFont="1" applyFill="1" applyBorder="1" applyAlignment="1">
      <alignment horizontal="center"/>
    </xf>
    <xf numFmtId="0" fontId="19" fillId="14" borderId="92" xfId="0" applyFont="1" applyFill="1" applyBorder="1" applyAlignment="1"/>
    <xf numFmtId="0" fontId="2" fillId="0" borderId="93" xfId="0" applyFont="1" applyBorder="1"/>
    <xf numFmtId="0" fontId="2" fillId="0" borderId="94" xfId="0" applyFont="1" applyBorder="1"/>
    <xf numFmtId="0" fontId="5" fillId="12" borderId="96" xfId="0" applyFont="1" applyFill="1" applyBorder="1" applyAlignment="1">
      <alignment horizontal="center"/>
    </xf>
    <xf numFmtId="0" fontId="2" fillId="0" borderId="97" xfId="0" applyFont="1" applyBorder="1"/>
    <xf numFmtId="0" fontId="2" fillId="0" borderId="98" xfId="0" applyFont="1" applyBorder="1"/>
    <xf numFmtId="0" fontId="1" fillId="4" borderId="16" xfId="0" applyFont="1" applyFill="1" applyBorder="1" applyAlignment="1"/>
    <xf numFmtId="0" fontId="2" fillId="0" borderId="26" xfId="0" applyFont="1" applyBorder="1"/>
    <xf numFmtId="0" fontId="2" fillId="0" borderId="56" xfId="0" applyFont="1" applyBorder="1"/>
    <xf numFmtId="0" fontId="8" fillId="8" borderId="17" xfId="0" applyFont="1" applyFill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56" fillId="8" borderId="130" xfId="0" applyFont="1" applyFill="1" applyBorder="1" applyAlignment="1">
      <alignment horizontal="center" vertical="top" wrapText="1"/>
    </xf>
    <xf numFmtId="0" fontId="56" fillId="8" borderId="28" xfId="0" applyFont="1" applyFill="1" applyBorder="1" applyAlignment="1">
      <alignment horizontal="center" vertical="top" wrapText="1"/>
    </xf>
    <xf numFmtId="0" fontId="5" fillId="9" borderId="63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64" xfId="0" applyFont="1" applyFill="1" applyBorder="1" applyAlignment="1">
      <alignment horizontal="center"/>
    </xf>
    <xf numFmtId="0" fontId="58" fillId="11" borderId="22" xfId="0" applyFont="1" applyFill="1" applyBorder="1" applyAlignment="1">
      <alignment horizontal="center" vertical="top"/>
    </xf>
    <xf numFmtId="0" fontId="58" fillId="11" borderId="30" xfId="0" applyFont="1" applyFill="1" applyBorder="1" applyAlignment="1">
      <alignment horizontal="center" vertical="top"/>
    </xf>
    <xf numFmtId="0" fontId="5" fillId="9" borderId="24" xfId="0" applyFont="1" applyFill="1" applyBorder="1" applyAlignment="1">
      <alignment horizontal="center"/>
    </xf>
    <xf numFmtId="0" fontId="2" fillId="0" borderId="19" xfId="0" applyFont="1" applyBorder="1"/>
    <xf numFmtId="0" fontId="2" fillId="0" borderId="25" xfId="0" applyFont="1" applyBorder="1"/>
    <xf numFmtId="164" fontId="48" fillId="3" borderId="81" xfId="0" applyNumberFormat="1" applyFont="1" applyFill="1" applyBorder="1" applyAlignment="1">
      <alignment horizontal="center"/>
    </xf>
    <xf numFmtId="164" fontId="48" fillId="3" borderId="81" xfId="0" applyNumberFormat="1" applyFont="1" applyFill="1" applyBorder="1" applyAlignment="1">
      <alignment horizontal="left"/>
    </xf>
    <xf numFmtId="0" fontId="18" fillId="15" borderId="82" xfId="0" applyFont="1" applyFill="1" applyBorder="1" applyAlignment="1">
      <alignment horizontal="center"/>
    </xf>
    <xf numFmtId="0" fontId="18" fillId="15" borderId="100" xfId="0" applyFont="1" applyFill="1" applyBorder="1" applyAlignment="1">
      <alignment horizontal="center"/>
    </xf>
    <xf numFmtId="0" fontId="2" fillId="0" borderId="83" xfId="0" applyFont="1" applyBorder="1"/>
    <xf numFmtId="0" fontId="2" fillId="0" borderId="84" xfId="0" applyFont="1" applyBorder="1"/>
    <xf numFmtId="0" fontId="2" fillId="0" borderId="86" xfId="0" applyFont="1" applyBorder="1"/>
    <xf numFmtId="0" fontId="2" fillId="0" borderId="124" xfId="0" applyFont="1" applyBorder="1"/>
    <xf numFmtId="0" fontId="2" fillId="0" borderId="87" xfId="0" applyFont="1" applyBorder="1"/>
    <xf numFmtId="0" fontId="2" fillId="0" borderId="88" xfId="0" applyFont="1" applyBorder="1"/>
    <xf numFmtId="0" fontId="5" fillId="17" borderId="42" xfId="0" applyFont="1" applyFill="1" applyBorder="1" applyAlignment="1">
      <alignment horizontal="center"/>
    </xf>
    <xf numFmtId="0" fontId="2" fillId="0" borderId="43" xfId="0" applyFont="1" applyBorder="1"/>
    <xf numFmtId="0" fontId="2" fillId="0" borderId="44" xfId="0" applyFont="1" applyBorder="1"/>
    <xf numFmtId="0" fontId="53" fillId="0" borderId="132" xfId="0" applyFont="1" applyBorder="1" applyAlignment="1">
      <alignment horizontal="center"/>
    </xf>
    <xf numFmtId="0" fontId="53" fillId="0" borderId="129" xfId="0" applyFont="1" applyBorder="1" applyAlignment="1">
      <alignment horizontal="center"/>
    </xf>
    <xf numFmtId="0" fontId="53" fillId="0" borderId="134" xfId="0" applyFont="1" applyBorder="1" applyAlignment="1">
      <alignment horizontal="center"/>
    </xf>
    <xf numFmtId="0" fontId="53" fillId="0" borderId="135" xfId="0" applyFont="1" applyBorder="1" applyAlignment="1">
      <alignment horizontal="center"/>
    </xf>
    <xf numFmtId="0" fontId="1" fillId="2" borderId="1" xfId="0" applyFont="1" applyFill="1" applyBorder="1" applyAlignment="1"/>
    <xf numFmtId="0" fontId="2" fillId="0" borderId="4" xfId="0" applyFont="1" applyBorder="1"/>
    <xf numFmtId="0" fontId="3" fillId="4" borderId="5" xfId="0" applyFont="1" applyFill="1" applyBorder="1" applyAlignment="1"/>
    <xf numFmtId="0" fontId="3" fillId="4" borderId="41" xfId="0" applyFont="1" applyFill="1" applyBorder="1" applyAlignment="1"/>
    <xf numFmtId="0" fontId="2" fillId="0" borderId="6" xfId="0" applyFont="1" applyBorder="1"/>
    <xf numFmtId="0" fontId="2" fillId="0" borderId="41" xfId="0" applyFont="1" applyBorder="1"/>
    <xf numFmtId="0" fontId="2" fillId="0" borderId="7" xfId="0" applyFont="1" applyBorder="1"/>
    <xf numFmtId="0" fontId="6" fillId="31" borderId="11" xfId="0" applyFont="1" applyFill="1" applyBorder="1" applyAlignment="1">
      <alignment horizontal="center"/>
    </xf>
    <xf numFmtId="0" fontId="6" fillId="31" borderId="13" xfId="0" applyFont="1" applyFill="1" applyBorder="1" applyAlignment="1">
      <alignment horizontal="center"/>
    </xf>
    <xf numFmtId="0" fontId="6" fillId="31" borderId="12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4" xfId="0" applyFont="1" applyBorder="1"/>
    <xf numFmtId="0" fontId="7" fillId="5" borderId="15" xfId="0" applyFont="1" applyFill="1" applyBorder="1" applyAlignment="1">
      <alignment horizontal="center"/>
    </xf>
    <xf numFmtId="0" fontId="2" fillId="0" borderId="10" xfId="0" applyFont="1" applyBorder="1"/>
    <xf numFmtId="0" fontId="0" fillId="23" borderId="133" xfId="0" applyFont="1" applyFill="1" applyBorder="1" applyAlignment="1">
      <alignment horizontal="center"/>
    </xf>
    <xf numFmtId="0" fontId="0" fillId="23" borderId="135" xfId="0" applyFont="1" applyFill="1" applyBorder="1" applyAlignment="1">
      <alignment horizontal="center"/>
    </xf>
    <xf numFmtId="0" fontId="50" fillId="0" borderId="126" xfId="0" applyFont="1" applyBorder="1" applyAlignment="1">
      <alignment horizontal="center"/>
    </xf>
    <xf numFmtId="0" fontId="0" fillId="0" borderId="126" xfId="0" applyFont="1" applyBorder="1" applyAlignment="1">
      <alignment horizontal="center"/>
    </xf>
    <xf numFmtId="0" fontId="53" fillId="0" borderId="126" xfId="0" applyFont="1" applyBorder="1" applyAlignment="1">
      <alignment horizontal="center"/>
    </xf>
    <xf numFmtId="0" fontId="52" fillId="30" borderId="137" xfId="0" applyFont="1" applyFill="1" applyBorder="1" applyAlignment="1">
      <alignment horizontal="center"/>
    </xf>
    <xf numFmtId="0" fontId="52" fillId="30" borderId="4" xfId="0" applyFont="1" applyFill="1" applyBorder="1" applyAlignment="1">
      <alignment horizontal="center"/>
    </xf>
    <xf numFmtId="0" fontId="0" fillId="34" borderId="126" xfId="0" applyFont="1" applyFill="1" applyBorder="1" applyAlignment="1">
      <alignment horizontal="center"/>
    </xf>
    <xf numFmtId="0" fontId="50" fillId="0" borderId="132" xfId="0" applyFont="1" applyBorder="1" applyAlignment="1">
      <alignment horizontal="center" vertical="center"/>
    </xf>
    <xf numFmtId="0" fontId="0" fillId="0" borderId="136" xfId="0" applyFont="1" applyBorder="1" applyAlignment="1">
      <alignment horizontal="center" vertical="center"/>
    </xf>
    <xf numFmtId="0" fontId="0" fillId="0" borderId="137" xfId="0" applyFont="1" applyBorder="1" applyAlignment="1">
      <alignment horizontal="center" vertical="center"/>
    </xf>
    <xf numFmtId="0" fontId="0" fillId="0" borderId="138" xfId="0" applyFont="1" applyBorder="1" applyAlignment="1">
      <alignment horizontal="center" vertical="center"/>
    </xf>
    <xf numFmtId="0" fontId="0" fillId="0" borderId="139" xfId="0" applyFont="1" applyBorder="1" applyAlignment="1">
      <alignment horizontal="center" vertical="center"/>
    </xf>
    <xf numFmtId="0" fontId="0" fillId="0" borderId="140" xfId="0" applyFont="1" applyBorder="1" applyAlignment="1">
      <alignment horizontal="center" vertical="center"/>
    </xf>
    <xf numFmtId="0" fontId="50" fillId="28" borderId="133" xfId="0" applyFont="1" applyFill="1" applyBorder="1" applyAlignment="1">
      <alignment horizontal="center"/>
    </xf>
    <xf numFmtId="0" fontId="0" fillId="28" borderId="135" xfId="0" applyFont="1" applyFill="1" applyBorder="1" applyAlignment="1">
      <alignment horizontal="center"/>
    </xf>
    <xf numFmtId="0" fontId="0" fillId="28" borderId="133" xfId="0" applyFont="1" applyFill="1" applyBorder="1" applyAlignment="1">
      <alignment horizontal="center"/>
    </xf>
    <xf numFmtId="0" fontId="51" fillId="28" borderId="129" xfId="0" applyFont="1" applyFill="1" applyBorder="1" applyAlignment="1">
      <alignment horizontal="center" vertical="center"/>
    </xf>
    <xf numFmtId="0" fontId="51" fillId="28" borderId="4" xfId="0" applyFont="1" applyFill="1" applyBorder="1" applyAlignment="1">
      <alignment horizontal="center" vertical="center"/>
    </xf>
    <xf numFmtId="0" fontId="50" fillId="0" borderId="133" xfId="0" applyFont="1" applyFill="1" applyBorder="1" applyAlignment="1">
      <alignment horizontal="center"/>
    </xf>
    <xf numFmtId="0" fontId="50" fillId="0" borderId="135" xfId="0" applyFont="1" applyFill="1" applyBorder="1" applyAlignment="1">
      <alignment horizontal="center"/>
    </xf>
    <xf numFmtId="0" fontId="50" fillId="0" borderId="126" xfId="0" applyFont="1" applyBorder="1" applyAlignment="1">
      <alignment horizontal="center" vertical="center"/>
    </xf>
    <xf numFmtId="0" fontId="0" fillId="0" borderId="126" xfId="0" applyFont="1" applyBorder="1" applyAlignment="1">
      <alignment horizontal="center" vertical="center"/>
    </xf>
    <xf numFmtId="0" fontId="0" fillId="0" borderId="133" xfId="0" applyFont="1" applyBorder="1" applyAlignment="1">
      <alignment horizontal="center"/>
    </xf>
    <xf numFmtId="0" fontId="0" fillId="0" borderId="135" xfId="0" applyFont="1" applyBorder="1" applyAlignment="1">
      <alignment horizontal="center"/>
    </xf>
    <xf numFmtId="0" fontId="0" fillId="28" borderId="12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cmpd="sng">
              <a:solidFill>
                <a:srgbClr val="000000"/>
              </a:solidFill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216-4311-B8BA-41F935BD0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372962272"/>
        <c:axId val="-1372960640"/>
      </c:barChart>
      <c:catAx>
        <c:axId val="-137296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372960640"/>
        <c:crosses val="autoZero"/>
        <c:auto val="0"/>
        <c:lblAlgn val="ctr"/>
        <c:lblOffset val="100"/>
        <c:noMultiLvlLbl val="0"/>
      </c:catAx>
      <c:valAx>
        <c:axId val="-1372960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-1372962272"/>
        <c:crosses val="autoZero"/>
        <c:crossBetween val="between"/>
      </c:valAx>
    </c:plotArea>
    <c:plotVisOnly val="0"/>
    <c:dispBlanksAs val="gap"/>
    <c:showDLblsOverMax val="0"/>
  </c:chart>
  <c:spPr>
    <a:solidFill>
      <a:srgbClr val="FFFF00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'10 - 35 dias'!$O$59:$T$59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K</c:v>
                </c:pt>
                <c:pt idx="3">
                  <c:v>Ca</c:v>
                </c:pt>
                <c:pt idx="4">
                  <c:v>Mg</c:v>
                </c:pt>
                <c:pt idx="5">
                  <c:v>S</c:v>
                </c:pt>
              </c:strCache>
            </c:strRef>
          </c:cat>
          <c:val>
            <c:numRef>
              <c:f>'10 - 35 dias'!$O$60:$T$60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5BE3-4CEB-ACCC-8CFDDA07F3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'10 - 35 dias'!$O$59:$T$59</c:f>
              <c:strCache>
                <c:ptCount val="6"/>
                <c:pt idx="0">
                  <c:v>N</c:v>
                </c:pt>
                <c:pt idx="1">
                  <c:v>P</c:v>
                </c:pt>
                <c:pt idx="2">
                  <c:v>K</c:v>
                </c:pt>
                <c:pt idx="3">
                  <c:v>Ca</c:v>
                </c:pt>
                <c:pt idx="4">
                  <c:v>Mg</c:v>
                </c:pt>
                <c:pt idx="5">
                  <c:v>S</c:v>
                </c:pt>
              </c:strCache>
            </c:strRef>
          </c:cat>
          <c:val>
            <c:numRef>
              <c:f>'10 - 35 dias'!$O$61:$T$61</c:f>
              <c:numCache>
                <c:formatCode>0</c:formatCode>
                <c:ptCount val="6"/>
                <c:pt idx="0">
                  <c:v>5900</c:v>
                </c:pt>
                <c:pt idx="1">
                  <c:v>7713.6440000000002</c:v>
                </c:pt>
                <c:pt idx="2">
                  <c:v>10698.8</c:v>
                </c:pt>
                <c:pt idx="3">
                  <c:v>1284.02</c:v>
                </c:pt>
                <c:pt idx="4">
                  <c:v>630</c:v>
                </c:pt>
                <c:pt idx="5">
                  <c:v>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3-4CEB-ACCC-8CFDDA07F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461680"/>
        <c:axId val="1034459184"/>
      </c:barChart>
      <c:catAx>
        <c:axId val="103446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4459184"/>
        <c:crosses val="autoZero"/>
        <c:auto val="1"/>
        <c:lblAlgn val="ctr"/>
        <c:lblOffset val="100"/>
        <c:noMultiLvlLbl val="0"/>
      </c:catAx>
      <c:valAx>
        <c:axId val="103445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4461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66675</xdr:colOff>
      <xdr:row>32</xdr:row>
      <xdr:rowOff>19050</xdr:rowOff>
    </xdr:from>
    <xdr:ext cx="323850" cy="114300"/>
    <xdr:sp macro="" textlink="">
      <xdr:nvSpPr>
        <xdr:cNvPr id="2" name="Shape 1429"/>
        <xdr:cNvSpPr/>
      </xdr:nvSpPr>
      <xdr:spPr>
        <a:xfrm rot="22800000" flipV="1">
          <a:off x="8620125" y="5305425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20</xdr:col>
      <xdr:colOff>28575</xdr:colOff>
      <xdr:row>59</xdr:row>
      <xdr:rowOff>47625</xdr:rowOff>
    </xdr:from>
    <xdr:ext cx="200025" cy="247650"/>
    <xdr:sp macro="" textlink="">
      <xdr:nvSpPr>
        <xdr:cNvPr id="3" name="Shape 1433"/>
        <xdr:cNvSpPr/>
      </xdr:nvSpPr>
      <xdr:spPr>
        <a:xfrm>
          <a:off x="11696700" y="10363200"/>
          <a:ext cx="200025" cy="247650"/>
        </a:xfrm>
        <a:custGeom>
          <a:avLst/>
          <a:gdLst/>
          <a:ahLst/>
          <a:cxnLst>
            <a:cxn ang="16200000">
              <a:pos x="65535" y="32767"/>
            </a:cxn>
            <a:cxn ang="10800000">
              <a:pos x="0" y="0"/>
            </a:cxn>
            <a:cxn ang="5400000">
              <a:pos x="65535" y="32767"/>
            </a:cxn>
            <a:cxn ang="0">
              <a:pos x="65535" y="32767"/>
            </a:cxn>
          </a:cxnLst>
          <a:rect l="0" t="0" r="21600" b="21600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6600">
            <a:alpha val="65881"/>
          </a:srgbClr>
        </a:solidFill>
        <a:ln w="9525" cap="flat" cmpd="sng" algn="ctr">
          <a:solidFill>
            <a:srgbClr val="FF6600">
              <a:alpha val="100000"/>
            </a:srgbClr>
          </a:solidFill>
          <a:miter lim="524288"/>
          <a:headEnd/>
          <a:tailEnd/>
        </a:ln>
      </xdr:spPr>
    </xdr:sp>
    <xdr:clientData fLocksWithSheet="0"/>
  </xdr:oneCellAnchor>
  <xdr:oneCellAnchor>
    <xdr:from>
      <xdr:col>20</xdr:col>
      <xdr:colOff>47625</xdr:colOff>
      <xdr:row>66</xdr:row>
      <xdr:rowOff>114300</xdr:rowOff>
    </xdr:from>
    <xdr:ext cx="200025" cy="266700"/>
    <xdr:sp macro="" textlink="">
      <xdr:nvSpPr>
        <xdr:cNvPr id="4" name="Shape 1434"/>
        <xdr:cNvSpPr/>
      </xdr:nvSpPr>
      <xdr:spPr>
        <a:xfrm>
          <a:off x="11715750" y="11744325"/>
          <a:ext cx="200025" cy="266700"/>
        </a:xfrm>
        <a:custGeom>
          <a:avLst/>
          <a:gdLst/>
          <a:ahLst/>
          <a:cxnLst>
            <a:cxn ang="16200000">
              <a:pos x="65535" y="32767"/>
            </a:cxn>
            <a:cxn ang="10800000">
              <a:pos x="0" y="0"/>
            </a:cxn>
            <a:cxn ang="5400000">
              <a:pos x="65535" y="32767"/>
            </a:cxn>
            <a:cxn ang="0">
              <a:pos x="65535" y="32767"/>
            </a:cxn>
          </a:cxnLst>
          <a:rect l="0" t="0" r="21600" b="21600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6600">
            <a:alpha val="65881"/>
          </a:srgbClr>
        </a:solidFill>
        <a:ln w="9525" cap="flat" cmpd="sng" algn="ctr">
          <a:solidFill>
            <a:srgbClr val="FF6600">
              <a:alpha val="100000"/>
            </a:srgbClr>
          </a:solidFill>
          <a:miter lim="524288"/>
          <a:headEnd/>
          <a:tailEnd/>
        </a:ln>
      </xdr:spPr>
    </xdr:sp>
    <xdr:clientData fLocksWithSheet="0"/>
  </xdr:oneCellAnchor>
  <xdr:oneCellAnchor>
    <xdr:from>
      <xdr:col>20</xdr:col>
      <xdr:colOff>295275</xdr:colOff>
      <xdr:row>64</xdr:row>
      <xdr:rowOff>123825</xdr:rowOff>
    </xdr:from>
    <xdr:ext cx="1905000" cy="1209675"/>
    <xdr:graphicFrame macro="">
      <xdr:nvGraphicFramePr>
        <xdr:cNvPr id="5" name="Chart 2" descr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66675</xdr:colOff>
      <xdr:row>5</xdr:row>
      <xdr:rowOff>19050</xdr:rowOff>
    </xdr:from>
    <xdr:ext cx="323850" cy="114300"/>
    <xdr:sp macro="" textlink="">
      <xdr:nvSpPr>
        <xdr:cNvPr id="6" name="Shape 1429"/>
        <xdr:cNvSpPr/>
      </xdr:nvSpPr>
      <xdr:spPr>
        <a:xfrm rot="22800000" flipV="1">
          <a:off x="6686550" y="971550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10</xdr:col>
      <xdr:colOff>61383</xdr:colOff>
      <xdr:row>3</xdr:row>
      <xdr:rowOff>33339</xdr:rowOff>
    </xdr:from>
    <xdr:ext cx="323850" cy="114300"/>
    <xdr:sp macro="" textlink="">
      <xdr:nvSpPr>
        <xdr:cNvPr id="7" name="Shape 1429"/>
        <xdr:cNvSpPr/>
      </xdr:nvSpPr>
      <xdr:spPr>
        <a:xfrm rot="22800000" flipV="1">
          <a:off x="6681258" y="604839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10</xdr:col>
      <xdr:colOff>66675</xdr:colOff>
      <xdr:row>8</xdr:row>
      <xdr:rowOff>19050</xdr:rowOff>
    </xdr:from>
    <xdr:ext cx="323850" cy="114300"/>
    <xdr:sp macro="" textlink="">
      <xdr:nvSpPr>
        <xdr:cNvPr id="8" name="Shape 1429"/>
        <xdr:cNvSpPr/>
      </xdr:nvSpPr>
      <xdr:spPr>
        <a:xfrm rot="22800000" flipV="1">
          <a:off x="6686550" y="1543050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10</xdr:col>
      <xdr:colOff>61913</xdr:colOff>
      <xdr:row>7</xdr:row>
      <xdr:rowOff>38102</xdr:rowOff>
    </xdr:from>
    <xdr:ext cx="323850" cy="114300"/>
    <xdr:sp macro="" textlink="">
      <xdr:nvSpPr>
        <xdr:cNvPr id="9" name="Shape 1429"/>
        <xdr:cNvSpPr/>
      </xdr:nvSpPr>
      <xdr:spPr>
        <a:xfrm rot="22800000" flipV="1">
          <a:off x="6681788" y="1371602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14</xdr:col>
      <xdr:colOff>311755</xdr:colOff>
      <xdr:row>16</xdr:row>
      <xdr:rowOff>17817</xdr:rowOff>
    </xdr:from>
    <xdr:ext cx="43234" cy="140207"/>
    <xdr:sp macro="" textlink="">
      <xdr:nvSpPr>
        <xdr:cNvPr id="10" name="Shape 1429"/>
        <xdr:cNvSpPr/>
      </xdr:nvSpPr>
      <xdr:spPr>
        <a:xfrm rot="22800000">
          <a:off x="8865205" y="2503842"/>
          <a:ext cx="43234" cy="140207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10</xdr:col>
      <xdr:colOff>76200</xdr:colOff>
      <xdr:row>2</xdr:row>
      <xdr:rowOff>47625</xdr:rowOff>
    </xdr:from>
    <xdr:ext cx="323850" cy="114300"/>
    <xdr:sp macro="" textlink="">
      <xdr:nvSpPr>
        <xdr:cNvPr id="11" name="Shape 1429"/>
        <xdr:cNvSpPr/>
      </xdr:nvSpPr>
      <xdr:spPr>
        <a:xfrm rot="22800000" flipV="1">
          <a:off x="6696075" y="428625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10</xdr:col>
      <xdr:colOff>66675</xdr:colOff>
      <xdr:row>4</xdr:row>
      <xdr:rowOff>50801</xdr:rowOff>
    </xdr:from>
    <xdr:ext cx="323850" cy="114300"/>
    <xdr:sp macro="" textlink="">
      <xdr:nvSpPr>
        <xdr:cNvPr id="12" name="Shape 1429"/>
        <xdr:cNvSpPr/>
      </xdr:nvSpPr>
      <xdr:spPr>
        <a:xfrm rot="22800000" flipV="1">
          <a:off x="6686550" y="812801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10</xdr:col>
      <xdr:colOff>57150</xdr:colOff>
      <xdr:row>6</xdr:row>
      <xdr:rowOff>28575</xdr:rowOff>
    </xdr:from>
    <xdr:ext cx="323850" cy="114300"/>
    <xdr:sp macro="" textlink="">
      <xdr:nvSpPr>
        <xdr:cNvPr id="13" name="Shape 1429"/>
        <xdr:cNvSpPr/>
      </xdr:nvSpPr>
      <xdr:spPr>
        <a:xfrm rot="22800000" flipV="1">
          <a:off x="6677025" y="1171575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twoCellAnchor>
    <xdr:from>
      <xdr:col>20</xdr:col>
      <xdr:colOff>380999</xdr:colOff>
      <xdr:row>56</xdr:row>
      <xdr:rowOff>168275</xdr:rowOff>
    </xdr:from>
    <xdr:to>
      <xdr:col>25</xdr:col>
      <xdr:colOff>190499</xdr:colOff>
      <xdr:row>62</xdr:row>
      <xdr:rowOff>39687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10</xdr:col>
      <xdr:colOff>66675</xdr:colOff>
      <xdr:row>9</xdr:row>
      <xdr:rowOff>19050</xdr:rowOff>
    </xdr:from>
    <xdr:ext cx="323850" cy="114300"/>
    <xdr:sp macro="" textlink="">
      <xdr:nvSpPr>
        <xdr:cNvPr id="16" name="Shape 1429"/>
        <xdr:cNvSpPr/>
      </xdr:nvSpPr>
      <xdr:spPr>
        <a:xfrm rot="22800000" flipV="1">
          <a:off x="6691842" y="1543050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  <xdr:oneCellAnchor>
    <xdr:from>
      <xdr:col>10</xdr:col>
      <xdr:colOff>66675</xdr:colOff>
      <xdr:row>10</xdr:row>
      <xdr:rowOff>19050</xdr:rowOff>
    </xdr:from>
    <xdr:ext cx="323850" cy="114300"/>
    <xdr:sp macro="" textlink="">
      <xdr:nvSpPr>
        <xdr:cNvPr id="17" name="Shape 1429"/>
        <xdr:cNvSpPr/>
      </xdr:nvSpPr>
      <xdr:spPr>
        <a:xfrm rot="22800000" flipV="1">
          <a:off x="6691842" y="1733550"/>
          <a:ext cx="323850" cy="114300"/>
        </a:xfrm>
        <a:prstGeom prst="line">
          <a:avLst/>
        </a:prstGeom>
        <a:noFill/>
        <a:ln w="25400" cap="flat" cmpd="sng" algn="ctr">
          <a:solidFill>
            <a:srgbClr val="FF6600"/>
          </a:solidFill>
          <a:miter lim="800000"/>
          <a:headEnd/>
          <a:tailEnd type="triangle" w="med" len="med"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350000"/>
          </a:solidFill>
          <a:prstDash val="solid"/>
          <a:round/>
          <a:headEnd type="none" w="med" len="med"/>
          <a:tailEnd type="none" w="med" len="med"/>
        </a:ln>
        <a:effectLst/>
        <a:ex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350000"/>
          </a:solidFill>
          <a:prstDash val="solid"/>
          <a:round/>
          <a:headEnd type="none" w="med" len="med"/>
          <a:tailEnd type="none" w="med" len="med"/>
        </a:ln>
        <a:effectLst/>
        <a:ex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7"/>
  <sheetViews>
    <sheetView tabSelected="1" zoomScale="120" zoomScaleNormal="120" workbookViewId="0">
      <selection sqref="A1:X1"/>
    </sheetView>
  </sheetViews>
  <sheetFormatPr defaultColWidth="14.42578125" defaultRowHeight="15" customHeight="1"/>
  <cols>
    <col min="1" max="1" width="2.7109375" customWidth="1"/>
    <col min="2" max="2" width="1.140625" customWidth="1"/>
    <col min="3" max="3" width="33.28515625" customWidth="1"/>
    <col min="4" max="4" width="18.85546875" customWidth="1"/>
    <col min="5" max="5" width="6.7109375" customWidth="1"/>
    <col min="6" max="6" width="7.85546875" customWidth="1"/>
    <col min="7" max="7" width="6.7109375" customWidth="1"/>
    <col min="8" max="8" width="7.5703125" customWidth="1"/>
    <col min="9" max="9" width="7.85546875" customWidth="1"/>
    <col min="10" max="10" width="8.5703125" customWidth="1"/>
    <col min="11" max="11" width="6.140625" customWidth="1"/>
    <col min="12" max="13" width="7.85546875" customWidth="1"/>
    <col min="14" max="14" width="8.5703125" customWidth="1"/>
    <col min="15" max="15" width="9.42578125" customWidth="1"/>
    <col min="16" max="16" width="8.140625" customWidth="1"/>
    <col min="17" max="17" width="7.42578125" customWidth="1"/>
    <col min="18" max="18" width="8.140625" customWidth="1"/>
    <col min="19" max="19" width="7.140625" customWidth="1"/>
    <col min="20" max="20" width="6.42578125" customWidth="1"/>
    <col min="21" max="21" width="7.140625" customWidth="1"/>
    <col min="22" max="22" width="6.42578125" customWidth="1"/>
    <col min="23" max="23" width="6.85546875" customWidth="1"/>
    <col min="24" max="24" width="6" customWidth="1"/>
    <col min="25" max="25" width="6.42578125" customWidth="1"/>
    <col min="26" max="26" width="6.140625" customWidth="1"/>
    <col min="27" max="27" width="6" customWidth="1"/>
    <col min="28" max="28" width="6.42578125" customWidth="1"/>
    <col min="29" max="30" width="5.7109375" customWidth="1"/>
    <col min="31" max="31" width="1.140625" customWidth="1"/>
    <col min="32" max="32" width="2.7109375" customWidth="1"/>
    <col min="33" max="38" width="5.7109375" customWidth="1"/>
  </cols>
  <sheetData>
    <row r="1" spans="1:38" ht="15" customHeight="1">
      <c r="A1" s="307" t="s">
        <v>0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</row>
    <row r="2" spans="1:38" ht="15" customHeight="1">
      <c r="A2" s="202"/>
      <c r="B2" s="202"/>
      <c r="C2" s="181" t="s">
        <v>64</v>
      </c>
      <c r="D2" s="187" t="s">
        <v>74</v>
      </c>
      <c r="G2" s="309" t="s">
        <v>70</v>
      </c>
      <c r="H2" s="309"/>
      <c r="I2" s="309" t="s">
        <v>71</v>
      </c>
      <c r="J2" s="309"/>
      <c r="K2" s="190"/>
      <c r="L2" s="191" t="s">
        <v>7</v>
      </c>
      <c r="M2" s="191" t="s">
        <v>8</v>
      </c>
      <c r="N2" s="191" t="s">
        <v>9</v>
      </c>
      <c r="O2" s="191" t="s">
        <v>10</v>
      </c>
      <c r="P2" s="191" t="s">
        <v>11</v>
      </c>
      <c r="Q2" s="191" t="s">
        <v>12</v>
      </c>
      <c r="R2" s="191" t="s">
        <v>18</v>
      </c>
      <c r="S2" s="191" t="s">
        <v>19</v>
      </c>
      <c r="T2" s="191" t="s">
        <v>20</v>
      </c>
      <c r="U2" s="191" t="s">
        <v>21</v>
      </c>
      <c r="V2" s="191" t="s">
        <v>22</v>
      </c>
      <c r="W2" s="191" t="s">
        <v>17</v>
      </c>
    </row>
    <row r="3" spans="1:38" ht="15" customHeight="1">
      <c r="A3" s="159"/>
      <c r="B3" s="159"/>
      <c r="C3" s="163" t="s">
        <v>65</v>
      </c>
      <c r="D3" s="206">
        <v>1</v>
      </c>
      <c r="E3" s="310" t="s">
        <v>69</v>
      </c>
      <c r="F3" s="311"/>
      <c r="G3" s="316" t="s">
        <v>75</v>
      </c>
      <c r="H3" s="317"/>
      <c r="I3" s="318">
        <v>25</v>
      </c>
      <c r="J3" s="317"/>
      <c r="K3" s="189"/>
      <c r="L3" s="201">
        <v>1800</v>
      </c>
      <c r="M3" s="201">
        <v>2571</v>
      </c>
      <c r="N3" s="201">
        <v>3568</v>
      </c>
      <c r="O3" s="201">
        <v>204</v>
      </c>
      <c r="P3" s="201">
        <v>353</v>
      </c>
      <c r="Q3" s="201">
        <v>428</v>
      </c>
      <c r="R3" s="201">
        <v>6</v>
      </c>
      <c r="S3" s="201">
        <v>6</v>
      </c>
      <c r="T3" s="201">
        <v>2</v>
      </c>
      <c r="U3" s="201">
        <v>1</v>
      </c>
      <c r="V3" s="201">
        <v>6</v>
      </c>
      <c r="W3" s="201">
        <v>23</v>
      </c>
    </row>
    <row r="4" spans="1:38" ht="15" customHeight="1">
      <c r="A4" s="159"/>
      <c r="B4" s="159"/>
      <c r="C4" s="319" t="s">
        <v>68</v>
      </c>
      <c r="D4" s="207" t="s">
        <v>81</v>
      </c>
      <c r="E4" s="312"/>
      <c r="F4" s="313"/>
      <c r="G4" s="316" t="s">
        <v>80</v>
      </c>
      <c r="H4" s="317"/>
      <c r="I4" s="302">
        <f>I3</f>
        <v>25</v>
      </c>
      <c r="J4" s="303"/>
      <c r="K4" s="186"/>
      <c r="L4" s="192">
        <f>(L3*3)</f>
        <v>5400</v>
      </c>
      <c r="M4" s="192">
        <f t="shared" ref="M4:W4" si="0">(M3*3)</f>
        <v>7713</v>
      </c>
      <c r="N4" s="192">
        <f t="shared" si="0"/>
        <v>10704</v>
      </c>
      <c r="O4" s="192">
        <f t="shared" si="0"/>
        <v>612</v>
      </c>
      <c r="P4" s="192">
        <f t="shared" si="0"/>
        <v>1059</v>
      </c>
      <c r="Q4" s="192">
        <f t="shared" si="0"/>
        <v>1284</v>
      </c>
      <c r="R4" s="192">
        <f t="shared" si="0"/>
        <v>18</v>
      </c>
      <c r="S4" s="192">
        <f t="shared" si="0"/>
        <v>18</v>
      </c>
      <c r="T4" s="192">
        <f t="shared" si="0"/>
        <v>6</v>
      </c>
      <c r="U4" s="192">
        <f t="shared" si="0"/>
        <v>3</v>
      </c>
      <c r="V4" s="192">
        <f t="shared" si="0"/>
        <v>18</v>
      </c>
      <c r="W4" s="192">
        <f t="shared" si="0"/>
        <v>69</v>
      </c>
    </row>
    <row r="5" spans="1:38" ht="15" customHeight="1">
      <c r="A5" s="159"/>
      <c r="B5" s="159"/>
      <c r="C5" s="320"/>
      <c r="D5" s="174"/>
      <c r="E5" s="314"/>
      <c r="F5" s="315"/>
      <c r="G5" s="321" t="str">
        <f>G4</f>
        <v>g/3000 plantas</v>
      </c>
      <c r="H5" s="322"/>
      <c r="I5" s="318">
        <v>25</v>
      </c>
      <c r="J5" s="317"/>
      <c r="K5" s="186"/>
      <c r="L5" s="194">
        <f t="shared" ref="L5:W5" si="1">(L4*$I5)/$I4</f>
        <v>5400</v>
      </c>
      <c r="M5" s="194">
        <f t="shared" si="1"/>
        <v>7713</v>
      </c>
      <c r="N5" s="194">
        <f t="shared" si="1"/>
        <v>10704</v>
      </c>
      <c r="O5" s="194">
        <f t="shared" si="1"/>
        <v>612</v>
      </c>
      <c r="P5" s="194">
        <f t="shared" si="1"/>
        <v>1059</v>
      </c>
      <c r="Q5" s="194">
        <f t="shared" si="1"/>
        <v>1284</v>
      </c>
      <c r="R5" s="194">
        <f t="shared" si="1"/>
        <v>18</v>
      </c>
      <c r="S5" s="194">
        <f t="shared" si="1"/>
        <v>18</v>
      </c>
      <c r="T5" s="194">
        <f t="shared" si="1"/>
        <v>6</v>
      </c>
      <c r="U5" s="194">
        <f t="shared" si="1"/>
        <v>3</v>
      </c>
      <c r="V5" s="194">
        <f t="shared" si="1"/>
        <v>18</v>
      </c>
      <c r="W5" s="194">
        <f t="shared" si="1"/>
        <v>69</v>
      </c>
    </row>
    <row r="6" spans="1:38" ht="15" customHeight="1">
      <c r="A6" s="159"/>
      <c r="B6" s="159"/>
      <c r="C6" s="320"/>
      <c r="D6" s="200"/>
      <c r="E6" s="323" t="s">
        <v>73</v>
      </c>
      <c r="F6" s="324"/>
      <c r="G6" s="321" t="str">
        <f>G5</f>
        <v>g/3000 plantas</v>
      </c>
      <c r="H6" s="322"/>
      <c r="I6" s="302">
        <f>I5</f>
        <v>25</v>
      </c>
      <c r="J6" s="303"/>
      <c r="K6" s="186"/>
      <c r="L6" s="195">
        <f>Q33</f>
        <v>5900</v>
      </c>
      <c r="M6" s="195">
        <f>T33</f>
        <v>7713.6440000000002</v>
      </c>
      <c r="N6" s="195">
        <f>U33</f>
        <v>10698.8</v>
      </c>
      <c r="O6" s="195">
        <f>W33</f>
        <v>630</v>
      </c>
      <c r="P6" s="195">
        <f>X33</f>
        <v>826</v>
      </c>
      <c r="Q6" s="195">
        <f>V33</f>
        <v>1284.02</v>
      </c>
      <c r="R6" s="196">
        <f>Z33</f>
        <v>18.02</v>
      </c>
      <c r="S6" s="196">
        <f>AA33</f>
        <v>0</v>
      </c>
      <c r="T6" s="196">
        <f>AB33</f>
        <v>0</v>
      </c>
      <c r="U6" s="197">
        <f>AC33</f>
        <v>0</v>
      </c>
      <c r="V6" s="197">
        <f>AD33</f>
        <v>0</v>
      </c>
      <c r="W6" s="196">
        <f>Y33</f>
        <v>0</v>
      </c>
    </row>
    <row r="7" spans="1:38" ht="15" customHeight="1" thickBot="1">
      <c r="A7" s="159"/>
      <c r="B7" s="159"/>
      <c r="C7" s="320"/>
      <c r="E7" s="324"/>
      <c r="F7" s="324"/>
      <c r="G7" s="325" t="str">
        <f>G6</f>
        <v>g/3000 plantas</v>
      </c>
      <c r="H7" s="326"/>
      <c r="I7" s="327">
        <v>7</v>
      </c>
      <c r="J7" s="327"/>
      <c r="K7" s="189"/>
      <c r="L7" s="198">
        <f t="shared" ref="L7:W7" si="2">(L6*$I7)/$I6</f>
        <v>1652</v>
      </c>
      <c r="M7" s="198">
        <f t="shared" si="2"/>
        <v>2159.8203200000003</v>
      </c>
      <c r="N7" s="198">
        <f t="shared" si="2"/>
        <v>2995.6639999999998</v>
      </c>
      <c r="O7" s="198">
        <f t="shared" si="2"/>
        <v>176.4</v>
      </c>
      <c r="P7" s="198">
        <f t="shared" si="2"/>
        <v>231.28</v>
      </c>
      <c r="Q7" s="198">
        <f t="shared" si="2"/>
        <v>359.5256</v>
      </c>
      <c r="R7" s="198">
        <f t="shared" si="2"/>
        <v>5.0456000000000003</v>
      </c>
      <c r="S7" s="198">
        <f t="shared" si="2"/>
        <v>0</v>
      </c>
      <c r="T7" s="198">
        <f t="shared" si="2"/>
        <v>0</v>
      </c>
      <c r="U7" s="198">
        <f t="shared" si="2"/>
        <v>0</v>
      </c>
      <c r="V7" s="198">
        <f t="shared" si="2"/>
        <v>0</v>
      </c>
      <c r="W7" s="198">
        <f t="shared" si="2"/>
        <v>0</v>
      </c>
      <c r="Z7" s="174"/>
      <c r="AA7" s="174"/>
      <c r="AB7" s="174"/>
    </row>
    <row r="8" spans="1:38" ht="15" customHeight="1">
      <c r="A8" s="159"/>
      <c r="B8" s="159"/>
      <c r="C8" s="188"/>
      <c r="E8" s="208"/>
      <c r="F8" s="208"/>
      <c r="G8" s="283" t="s">
        <v>72</v>
      </c>
      <c r="H8" s="284"/>
      <c r="I8" s="285"/>
      <c r="J8" s="286"/>
      <c r="K8" s="186"/>
      <c r="L8" s="193">
        <v>1</v>
      </c>
      <c r="T8" s="174"/>
      <c r="U8" s="174"/>
      <c r="V8" s="174"/>
      <c r="W8" s="174"/>
      <c r="X8" s="174"/>
      <c r="Z8" s="174"/>
      <c r="AA8" s="174"/>
      <c r="AB8" s="174"/>
    </row>
    <row r="9" spans="1:38" ht="15" customHeight="1" thickBot="1">
      <c r="A9" s="159"/>
      <c r="B9" s="159"/>
      <c r="C9" s="188"/>
      <c r="E9" s="304" t="s">
        <v>82</v>
      </c>
      <c r="F9" s="305"/>
      <c r="G9" s="305"/>
      <c r="H9" s="305"/>
      <c r="I9" s="302">
        <f>I6</f>
        <v>25</v>
      </c>
      <c r="J9" s="303"/>
      <c r="K9" s="185"/>
      <c r="L9" s="170">
        <v>500</v>
      </c>
      <c r="Z9" s="174"/>
      <c r="AA9" s="174"/>
      <c r="AB9" s="174"/>
    </row>
    <row r="10" spans="1:38" ht="15" customHeight="1" thickBot="1">
      <c r="A10" s="159"/>
      <c r="B10" s="159"/>
      <c r="C10" s="188"/>
      <c r="E10" s="304" t="s">
        <v>82</v>
      </c>
      <c r="F10" s="305"/>
      <c r="G10" s="305"/>
      <c r="H10" s="305"/>
      <c r="I10" s="302">
        <f>I7</f>
        <v>7</v>
      </c>
      <c r="J10" s="303"/>
      <c r="K10" s="185"/>
      <c r="L10" s="210">
        <f>(I7*L9)/I5</f>
        <v>140</v>
      </c>
      <c r="P10" s="209"/>
      <c r="Z10" s="174"/>
      <c r="AA10" s="174"/>
      <c r="AB10" s="174"/>
    </row>
    <row r="11" spans="1:38" ht="15" customHeight="1" thickBot="1">
      <c r="A11" s="159"/>
      <c r="B11" s="159"/>
      <c r="C11" s="188"/>
      <c r="E11" s="207"/>
      <c r="F11" s="174"/>
      <c r="G11" s="306" t="s">
        <v>83</v>
      </c>
      <c r="H11" s="306"/>
      <c r="I11" s="306"/>
      <c r="J11" s="306"/>
      <c r="K11" s="185"/>
      <c r="L11" s="210">
        <f>L10/L8</f>
        <v>140</v>
      </c>
      <c r="P11" s="209"/>
      <c r="Z11" s="174"/>
      <c r="AA11" s="174"/>
      <c r="AB11" s="174"/>
    </row>
    <row r="12" spans="1:38" ht="15" customHeight="1">
      <c r="A12" s="159"/>
      <c r="B12" s="159"/>
      <c r="C12" s="188"/>
      <c r="N12" s="174"/>
      <c r="O12" s="174"/>
      <c r="P12" s="174"/>
      <c r="Q12" s="174"/>
      <c r="R12" s="174"/>
      <c r="S12" s="174"/>
      <c r="T12" s="174"/>
      <c r="U12" s="174"/>
      <c r="W12" s="174"/>
      <c r="X12" s="174"/>
      <c r="Y12" s="174"/>
      <c r="Z12" s="174"/>
      <c r="AA12" s="174"/>
      <c r="AB12" s="174"/>
    </row>
    <row r="13" spans="1:38" ht="12.75" customHeight="1">
      <c r="A13" s="287"/>
      <c r="B13" s="218"/>
      <c r="C13" s="218"/>
      <c r="D13" s="288"/>
      <c r="E13" s="218"/>
      <c r="F13" s="218"/>
      <c r="G13" s="218"/>
      <c r="H13" s="218"/>
      <c r="I13" s="218"/>
      <c r="J13" s="218"/>
      <c r="K13" s="218"/>
      <c r="L13" s="218"/>
      <c r="M13" s="28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9"/>
      <c r="AE13" s="1"/>
      <c r="AF13" s="1"/>
      <c r="AG13" s="2"/>
      <c r="AH13" s="2"/>
      <c r="AI13" s="2"/>
      <c r="AJ13" s="2"/>
      <c r="AK13" s="2"/>
    </row>
    <row r="14" spans="1:38" ht="4.5" customHeight="1" thickBot="1">
      <c r="A14" s="1"/>
      <c r="B14" s="3"/>
      <c r="C14" s="289"/>
      <c r="D14" s="290"/>
      <c r="E14" s="291"/>
      <c r="F14" s="291"/>
      <c r="G14" s="291"/>
      <c r="H14" s="291"/>
      <c r="I14" s="291"/>
      <c r="J14" s="291"/>
      <c r="K14" s="291"/>
      <c r="L14" s="291"/>
      <c r="M14" s="292"/>
      <c r="N14" s="291"/>
      <c r="O14" s="291"/>
      <c r="P14" s="291"/>
      <c r="Q14" s="291"/>
      <c r="R14" s="291"/>
      <c r="S14" s="291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3"/>
      <c r="AE14" s="3"/>
      <c r="AF14" s="4"/>
      <c r="AG14" s="5"/>
      <c r="AH14" s="5"/>
      <c r="AI14" s="5"/>
      <c r="AJ14" s="5"/>
      <c r="AK14" s="5"/>
    </row>
    <row r="15" spans="1:38" ht="14.25" customHeight="1" thickBot="1">
      <c r="A15" s="1"/>
      <c r="B15" s="3"/>
      <c r="C15" s="294"/>
      <c r="D15" s="295"/>
      <c r="E15" s="295"/>
      <c r="F15" s="295"/>
      <c r="G15" s="295"/>
      <c r="H15" s="295"/>
      <c r="I15" s="295"/>
      <c r="J15" s="295"/>
      <c r="K15" s="295"/>
      <c r="L15" s="295"/>
      <c r="M15" s="295"/>
      <c r="N15" s="295"/>
      <c r="O15" s="296"/>
      <c r="P15" s="6" t="s">
        <v>1</v>
      </c>
      <c r="Q15" s="297"/>
      <c r="R15" s="298"/>
      <c r="S15" s="298"/>
      <c r="T15" s="298"/>
      <c r="U15" s="298"/>
      <c r="V15" s="299"/>
      <c r="W15" s="300"/>
      <c r="X15" s="298"/>
      <c r="Y15" s="298"/>
      <c r="Z15" s="298"/>
      <c r="AA15" s="298"/>
      <c r="AB15" s="298"/>
      <c r="AC15" s="298"/>
      <c r="AD15" s="301"/>
      <c r="AE15" s="255"/>
      <c r="AF15" s="4"/>
      <c r="AG15" s="5"/>
      <c r="AH15" s="5"/>
      <c r="AI15" s="5"/>
      <c r="AJ15" s="5"/>
      <c r="AK15" s="5"/>
      <c r="AL15" s="2"/>
    </row>
    <row r="16" spans="1:38" ht="14.25" customHeight="1">
      <c r="A16" s="1"/>
      <c r="B16" s="3"/>
      <c r="C16" s="258" t="s">
        <v>2</v>
      </c>
      <c r="D16" s="260" t="s">
        <v>66</v>
      </c>
      <c r="E16" s="262" t="s">
        <v>3</v>
      </c>
      <c r="F16" s="263"/>
      <c r="G16" s="263"/>
      <c r="H16" s="263"/>
      <c r="I16" s="263"/>
      <c r="J16" s="263"/>
      <c r="K16" s="263"/>
      <c r="L16" s="263"/>
      <c r="M16" s="264"/>
      <c r="N16" s="183" t="s">
        <v>4</v>
      </c>
      <c r="O16" s="265" t="s">
        <v>67</v>
      </c>
      <c r="P16" s="7" t="s">
        <v>5</v>
      </c>
      <c r="Q16" s="267" t="s">
        <v>6</v>
      </c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9"/>
      <c r="AE16" s="256"/>
      <c r="AF16" s="4"/>
      <c r="AG16" s="5"/>
      <c r="AH16" s="5"/>
      <c r="AI16" s="5"/>
      <c r="AJ16" s="5"/>
      <c r="AK16" s="5"/>
    </row>
    <row r="17" spans="1:38" ht="14.25" customHeight="1" thickBot="1">
      <c r="A17" s="1"/>
      <c r="B17" s="3"/>
      <c r="C17" s="259"/>
      <c r="D17" s="261"/>
      <c r="E17" s="8" t="s">
        <v>53</v>
      </c>
      <c r="F17" s="169" t="s">
        <v>63</v>
      </c>
      <c r="G17" s="8" t="s">
        <v>7</v>
      </c>
      <c r="H17" s="8" t="s">
        <v>8</v>
      </c>
      <c r="I17" s="8" t="s">
        <v>9</v>
      </c>
      <c r="J17" s="8" t="s">
        <v>10</v>
      </c>
      <c r="K17" s="8" t="s">
        <v>11</v>
      </c>
      <c r="L17" s="8" t="s">
        <v>12</v>
      </c>
      <c r="M17" s="10" t="s">
        <v>18</v>
      </c>
      <c r="N17" s="182" t="s">
        <v>13</v>
      </c>
      <c r="O17" s="266"/>
      <c r="P17" s="7" t="s">
        <v>14</v>
      </c>
      <c r="Q17" s="9" t="s">
        <v>7</v>
      </c>
      <c r="R17" s="8" t="s">
        <v>15</v>
      </c>
      <c r="S17" s="8" t="s">
        <v>16</v>
      </c>
      <c r="T17" s="8" t="s">
        <v>8</v>
      </c>
      <c r="U17" s="8" t="s">
        <v>9</v>
      </c>
      <c r="V17" s="8" t="s">
        <v>12</v>
      </c>
      <c r="W17" s="8" t="s">
        <v>10</v>
      </c>
      <c r="X17" s="8" t="s">
        <v>11</v>
      </c>
      <c r="Y17" s="8" t="s">
        <v>17</v>
      </c>
      <c r="Z17" s="8" t="s">
        <v>18</v>
      </c>
      <c r="AA17" s="8" t="s">
        <v>19</v>
      </c>
      <c r="AB17" s="8" t="s">
        <v>20</v>
      </c>
      <c r="AC17" s="8" t="s">
        <v>21</v>
      </c>
      <c r="AD17" s="10" t="s">
        <v>22</v>
      </c>
      <c r="AE17" s="256"/>
      <c r="AF17" s="4"/>
      <c r="AG17" s="5"/>
      <c r="AH17" s="5"/>
      <c r="AI17" s="5"/>
      <c r="AJ17" s="5"/>
      <c r="AK17" s="5"/>
      <c r="AL17" s="5"/>
    </row>
    <row r="18" spans="1:38" ht="15" customHeight="1" thickBot="1">
      <c r="A18" s="1"/>
      <c r="B18" s="3"/>
      <c r="C18" s="172" t="s">
        <v>57</v>
      </c>
      <c r="D18" s="184">
        <f>((O18/$I$5)*$I$7)/$L$8</f>
        <v>1892.24</v>
      </c>
      <c r="E18" s="175">
        <v>14</v>
      </c>
      <c r="F18" s="175">
        <v>1.1000000000000001</v>
      </c>
      <c r="G18" s="175">
        <v>15</v>
      </c>
      <c r="H18" s="175">
        <v>0</v>
      </c>
      <c r="I18" s="175">
        <v>0</v>
      </c>
      <c r="J18" s="175">
        <v>0</v>
      </c>
      <c r="K18" s="175">
        <v>0</v>
      </c>
      <c r="L18" s="175">
        <v>19</v>
      </c>
      <c r="M18" s="175">
        <v>19</v>
      </c>
      <c r="N18" s="156">
        <v>1.25</v>
      </c>
      <c r="O18" s="12">
        <v>6758</v>
      </c>
      <c r="P18" s="13">
        <f t="shared" ref="P18:P29" si="3">N18*O18/L$9</f>
        <v>16.895</v>
      </c>
      <c r="Q18" s="11">
        <f t="shared" ref="Q18:Q28" si="4">G18*O18/100</f>
        <v>1013.7</v>
      </c>
      <c r="R18" s="11">
        <f t="shared" ref="R18:R28" si="5">E18*O18/100</f>
        <v>946.12</v>
      </c>
      <c r="S18" s="11">
        <f t="shared" ref="S18:S28" si="6">F18*O18/100</f>
        <v>74.338000000000008</v>
      </c>
      <c r="T18" s="11">
        <f t="shared" ref="T18:T28" si="7">H18*O18/100</f>
        <v>0</v>
      </c>
      <c r="U18" s="11">
        <f t="shared" ref="U18:U28" si="8">I18*O18/100</f>
        <v>0</v>
      </c>
      <c r="V18" s="11">
        <f t="shared" ref="V18:V28" si="9">L18*O18/100</f>
        <v>1284.02</v>
      </c>
      <c r="W18" s="11">
        <f t="shared" ref="W18:W28" si="10">J18*O18/100</f>
        <v>0</v>
      </c>
      <c r="X18" s="11">
        <f t="shared" ref="X18:X28" si="11">K18*O18/100</f>
        <v>0</v>
      </c>
      <c r="Y18" s="14"/>
      <c r="Z18" s="14"/>
      <c r="AA18" s="14"/>
      <c r="AB18" s="15"/>
      <c r="AC18" s="15"/>
      <c r="AD18" s="16"/>
      <c r="AE18" s="256"/>
      <c r="AF18" s="4"/>
      <c r="AG18" s="5"/>
      <c r="AH18" s="5"/>
      <c r="AI18" s="5"/>
      <c r="AJ18" s="5"/>
      <c r="AK18" s="5"/>
      <c r="AL18" s="5"/>
    </row>
    <row r="19" spans="1:38" ht="15" customHeight="1" thickBot="1">
      <c r="A19" s="1"/>
      <c r="B19" s="3"/>
      <c r="C19" s="172" t="s">
        <v>61</v>
      </c>
      <c r="D19" s="184">
        <f t="shared" ref="D19:D29" si="12">((O19/$I$5)*$I$7)/$L$8</f>
        <v>1960</v>
      </c>
      <c r="E19" s="175">
        <v>0</v>
      </c>
      <c r="F19" s="175">
        <v>0</v>
      </c>
      <c r="G19" s="175">
        <v>0</v>
      </c>
      <c r="H19" s="175">
        <v>0</v>
      </c>
      <c r="I19" s="175">
        <v>1</v>
      </c>
      <c r="J19" s="175">
        <v>9</v>
      </c>
      <c r="K19" s="175">
        <v>11.8</v>
      </c>
      <c r="L19" s="175">
        <v>0</v>
      </c>
      <c r="M19" s="175">
        <v>0</v>
      </c>
      <c r="N19" s="156">
        <v>0.88</v>
      </c>
      <c r="O19" s="17">
        <v>7000</v>
      </c>
      <c r="P19" s="13">
        <f t="shared" si="3"/>
        <v>12.32</v>
      </c>
      <c r="Q19" s="11">
        <f t="shared" si="4"/>
        <v>0</v>
      </c>
      <c r="R19" s="11">
        <f t="shared" si="5"/>
        <v>0</v>
      </c>
      <c r="S19" s="11">
        <f t="shared" si="6"/>
        <v>0</v>
      </c>
      <c r="T19" s="11">
        <f t="shared" si="7"/>
        <v>0</v>
      </c>
      <c r="U19" s="11">
        <f t="shared" si="8"/>
        <v>70</v>
      </c>
      <c r="V19" s="11">
        <f t="shared" si="9"/>
        <v>0</v>
      </c>
      <c r="W19" s="11">
        <f t="shared" si="10"/>
        <v>630</v>
      </c>
      <c r="X19" s="11">
        <f t="shared" si="11"/>
        <v>826</v>
      </c>
      <c r="Y19" s="14"/>
      <c r="Z19" s="14"/>
      <c r="AA19" s="14"/>
      <c r="AB19" s="15"/>
      <c r="AC19" s="15"/>
      <c r="AD19" s="16"/>
      <c r="AE19" s="257"/>
      <c r="AF19" s="4"/>
      <c r="AG19" s="5"/>
      <c r="AH19" s="5"/>
      <c r="AI19" s="5"/>
      <c r="AJ19" s="5"/>
      <c r="AK19" s="5"/>
      <c r="AL19" s="5"/>
    </row>
    <row r="20" spans="1:38" ht="15" customHeight="1" thickBot="1">
      <c r="A20" s="1"/>
      <c r="B20" s="3"/>
      <c r="C20" s="173" t="s">
        <v>62</v>
      </c>
      <c r="D20" s="184">
        <f t="shared" si="12"/>
        <v>3424.4</v>
      </c>
      <c r="E20" s="175">
        <v>0</v>
      </c>
      <c r="F20" s="175">
        <v>9</v>
      </c>
      <c r="G20" s="176">
        <v>9</v>
      </c>
      <c r="H20" s="176">
        <v>61</v>
      </c>
      <c r="I20" s="176">
        <v>0</v>
      </c>
      <c r="J20" s="176">
        <v>0</v>
      </c>
      <c r="K20" s="176">
        <v>0</v>
      </c>
      <c r="L20" s="176">
        <v>0</v>
      </c>
      <c r="M20" s="176">
        <v>0</v>
      </c>
      <c r="N20" s="156">
        <v>1.31</v>
      </c>
      <c r="O20" s="165">
        <v>12230</v>
      </c>
      <c r="P20" s="13">
        <f t="shared" si="3"/>
        <v>32.0426</v>
      </c>
      <c r="Q20" s="164">
        <f t="shared" si="4"/>
        <v>1100.7</v>
      </c>
      <c r="R20" s="164">
        <f t="shared" si="5"/>
        <v>0</v>
      </c>
      <c r="S20" s="164">
        <f t="shared" si="6"/>
        <v>1100.7</v>
      </c>
      <c r="T20" s="164">
        <f t="shared" si="7"/>
        <v>7460.3</v>
      </c>
      <c r="U20" s="164">
        <f t="shared" si="8"/>
        <v>0</v>
      </c>
      <c r="V20" s="164">
        <f t="shared" si="9"/>
        <v>0</v>
      </c>
      <c r="W20" s="164">
        <f t="shared" si="10"/>
        <v>0</v>
      </c>
      <c r="X20" s="164">
        <f t="shared" si="11"/>
        <v>0</v>
      </c>
      <c r="Y20" s="166"/>
      <c r="Z20" s="166"/>
      <c r="AA20" s="166"/>
      <c r="AB20" s="167"/>
      <c r="AC20" s="167"/>
      <c r="AD20" s="168"/>
      <c r="AE20" s="257"/>
      <c r="AF20" s="4"/>
      <c r="AG20" s="5"/>
      <c r="AH20" s="5"/>
      <c r="AI20" s="5"/>
      <c r="AJ20" s="5"/>
      <c r="AK20" s="5"/>
      <c r="AL20" s="5"/>
    </row>
    <row r="21" spans="1:38" ht="15" customHeight="1" thickBot="1">
      <c r="A21" s="1"/>
      <c r="B21" s="3"/>
      <c r="C21" s="199" t="s">
        <v>77</v>
      </c>
      <c r="D21" s="184">
        <f t="shared" si="12"/>
        <v>0</v>
      </c>
      <c r="E21" s="175">
        <v>0</v>
      </c>
      <c r="F21" s="175">
        <v>0</v>
      </c>
      <c r="G21" s="176">
        <v>0</v>
      </c>
      <c r="H21" s="176">
        <v>0</v>
      </c>
      <c r="I21" s="176">
        <v>49.8</v>
      </c>
      <c r="J21" s="176">
        <v>0</v>
      </c>
      <c r="K21" s="176">
        <v>0</v>
      </c>
      <c r="L21" s="176">
        <v>0</v>
      </c>
      <c r="M21" s="176">
        <v>0</v>
      </c>
      <c r="N21" s="156">
        <v>1.7</v>
      </c>
      <c r="O21" s="165"/>
      <c r="P21" s="13">
        <f t="shared" si="3"/>
        <v>0</v>
      </c>
      <c r="Q21" s="164">
        <f t="shared" si="4"/>
        <v>0</v>
      </c>
      <c r="R21" s="164">
        <f t="shared" si="5"/>
        <v>0</v>
      </c>
      <c r="S21" s="164">
        <f t="shared" si="6"/>
        <v>0</v>
      </c>
      <c r="T21" s="164">
        <f t="shared" si="7"/>
        <v>0</v>
      </c>
      <c r="U21" s="164">
        <f t="shared" si="8"/>
        <v>0</v>
      </c>
      <c r="V21" s="164">
        <f t="shared" si="9"/>
        <v>0</v>
      </c>
      <c r="W21" s="164">
        <f t="shared" si="10"/>
        <v>0</v>
      </c>
      <c r="X21" s="164">
        <f t="shared" si="11"/>
        <v>0</v>
      </c>
      <c r="Y21" s="166"/>
      <c r="Z21" s="166"/>
      <c r="AA21" s="166"/>
      <c r="AB21" s="167"/>
      <c r="AC21" s="167"/>
      <c r="AD21" s="168"/>
      <c r="AE21" s="257"/>
      <c r="AF21" s="4"/>
      <c r="AG21" s="5"/>
      <c r="AH21" s="5"/>
      <c r="AI21" s="5"/>
      <c r="AJ21" s="5"/>
      <c r="AK21" s="5"/>
      <c r="AL21" s="5"/>
    </row>
    <row r="22" spans="1:38" ht="15" customHeight="1" thickBot="1">
      <c r="A22" s="1"/>
      <c r="B22" s="3"/>
      <c r="C22" s="199" t="s">
        <v>79</v>
      </c>
      <c r="D22" s="184">
        <f t="shared" si="12"/>
        <v>8153.5999999999995</v>
      </c>
      <c r="E22" s="175">
        <v>13.5</v>
      </c>
      <c r="F22" s="175">
        <v>1.1000000000000001</v>
      </c>
      <c r="G22" s="176">
        <v>13</v>
      </c>
      <c r="H22" s="176">
        <v>0.87</v>
      </c>
      <c r="I22" s="176">
        <v>36.5</v>
      </c>
      <c r="J22" s="176">
        <v>0</v>
      </c>
      <c r="K22" s="176">
        <v>0</v>
      </c>
      <c r="L22" s="176">
        <v>0</v>
      </c>
      <c r="M22" s="176">
        <v>0</v>
      </c>
      <c r="N22" s="156">
        <v>1.35</v>
      </c>
      <c r="O22" s="17">
        <v>29120</v>
      </c>
      <c r="P22" s="13">
        <f t="shared" si="3"/>
        <v>78.623999999999995</v>
      </c>
      <c r="Q22" s="164">
        <f t="shared" si="4"/>
        <v>3785.6</v>
      </c>
      <c r="R22" s="164">
        <f t="shared" si="5"/>
        <v>3931.2</v>
      </c>
      <c r="S22" s="164">
        <f t="shared" si="6"/>
        <v>320.32000000000005</v>
      </c>
      <c r="T22" s="164">
        <f t="shared" si="7"/>
        <v>253.34400000000002</v>
      </c>
      <c r="U22" s="164">
        <f t="shared" si="8"/>
        <v>10628.8</v>
      </c>
      <c r="V22" s="164">
        <f t="shared" si="9"/>
        <v>0</v>
      </c>
      <c r="W22" s="164">
        <f t="shared" si="10"/>
        <v>0</v>
      </c>
      <c r="X22" s="164">
        <f t="shared" si="11"/>
        <v>0</v>
      </c>
      <c r="Y22" s="14"/>
      <c r="Z22" s="14"/>
      <c r="AA22" s="14"/>
      <c r="AB22" s="15"/>
      <c r="AC22" s="15"/>
      <c r="AD22" s="16"/>
      <c r="AE22" s="257"/>
      <c r="AF22" s="4"/>
      <c r="AG22" s="5"/>
      <c r="AH22" s="5"/>
      <c r="AI22" s="5"/>
      <c r="AJ22" s="5"/>
      <c r="AK22" s="5"/>
      <c r="AL22" s="5"/>
    </row>
    <row r="23" spans="1:38" ht="15" customHeight="1" thickBot="1">
      <c r="A23" s="1"/>
      <c r="B23" s="3"/>
      <c r="C23" s="199" t="s">
        <v>78</v>
      </c>
      <c r="D23" s="184">
        <f t="shared" si="12"/>
        <v>0</v>
      </c>
      <c r="E23" s="175">
        <v>0</v>
      </c>
      <c r="F23" s="175">
        <v>45</v>
      </c>
      <c r="G23" s="176">
        <v>45</v>
      </c>
      <c r="H23" s="176">
        <v>0</v>
      </c>
      <c r="I23" s="176">
        <v>0</v>
      </c>
      <c r="J23" s="176">
        <v>0</v>
      </c>
      <c r="K23" s="176">
        <v>0</v>
      </c>
      <c r="L23" s="176">
        <v>0</v>
      </c>
      <c r="M23" s="176">
        <v>0</v>
      </c>
      <c r="N23" s="156">
        <v>1.55</v>
      </c>
      <c r="O23" s="165">
        <v>0</v>
      </c>
      <c r="P23" s="13">
        <f t="shared" si="3"/>
        <v>0</v>
      </c>
      <c r="Q23" s="164">
        <f t="shared" si="4"/>
        <v>0</v>
      </c>
      <c r="R23" s="164">
        <f t="shared" si="5"/>
        <v>0</v>
      </c>
      <c r="S23" s="164">
        <f t="shared" si="6"/>
        <v>0</v>
      </c>
      <c r="T23" s="164">
        <f t="shared" si="7"/>
        <v>0</v>
      </c>
      <c r="U23" s="164">
        <f t="shared" si="8"/>
        <v>0</v>
      </c>
      <c r="V23" s="164">
        <f t="shared" si="9"/>
        <v>0</v>
      </c>
      <c r="W23" s="164">
        <f t="shared" si="10"/>
        <v>0</v>
      </c>
      <c r="X23" s="164">
        <f t="shared" si="11"/>
        <v>0</v>
      </c>
      <c r="Y23" s="166"/>
      <c r="Z23" s="166"/>
      <c r="AA23" s="166"/>
      <c r="AB23" s="167"/>
      <c r="AC23" s="167"/>
      <c r="AD23" s="168"/>
      <c r="AE23" s="257"/>
      <c r="AF23" s="4"/>
      <c r="AG23" s="5"/>
      <c r="AH23" s="5"/>
      <c r="AI23" s="5"/>
      <c r="AJ23" s="5"/>
      <c r="AK23" s="5"/>
      <c r="AL23" s="5"/>
    </row>
    <row r="24" spans="1:38" ht="15" customHeight="1" thickBot="1">
      <c r="A24" s="1"/>
      <c r="B24" s="3"/>
      <c r="C24" s="199" t="s">
        <v>76</v>
      </c>
      <c r="D24" s="184">
        <f t="shared" si="12"/>
        <v>29.68</v>
      </c>
      <c r="E24" s="175">
        <v>0</v>
      </c>
      <c r="F24" s="175">
        <v>0</v>
      </c>
      <c r="G24" s="176">
        <v>0</v>
      </c>
      <c r="H24" s="176">
        <v>0</v>
      </c>
      <c r="I24" s="176">
        <v>0</v>
      </c>
      <c r="J24" s="176">
        <v>0</v>
      </c>
      <c r="K24" s="176">
        <v>0</v>
      </c>
      <c r="L24" s="176">
        <v>0</v>
      </c>
      <c r="M24" s="176">
        <v>17</v>
      </c>
      <c r="N24" s="156">
        <v>0.76</v>
      </c>
      <c r="O24" s="165">
        <v>106</v>
      </c>
      <c r="P24" s="13">
        <f t="shared" si="3"/>
        <v>0.16112000000000001</v>
      </c>
      <c r="Q24" s="164">
        <f t="shared" si="4"/>
        <v>0</v>
      </c>
      <c r="R24" s="164">
        <f t="shared" si="5"/>
        <v>0</v>
      </c>
      <c r="S24" s="164">
        <f t="shared" si="6"/>
        <v>0</v>
      </c>
      <c r="T24" s="164">
        <f t="shared" si="7"/>
        <v>0</v>
      </c>
      <c r="U24" s="164">
        <f t="shared" si="8"/>
        <v>0</v>
      </c>
      <c r="V24" s="164">
        <f t="shared" si="9"/>
        <v>0</v>
      </c>
      <c r="W24" s="164">
        <f t="shared" si="10"/>
        <v>0</v>
      </c>
      <c r="X24" s="164">
        <f t="shared" si="11"/>
        <v>0</v>
      </c>
      <c r="Y24" s="166"/>
      <c r="Z24" s="164">
        <f>M24*O24/100</f>
        <v>18.02</v>
      </c>
      <c r="AA24" s="166"/>
      <c r="AB24" s="167"/>
      <c r="AC24" s="167"/>
      <c r="AD24" s="168"/>
      <c r="AE24" s="257"/>
      <c r="AF24" s="4"/>
      <c r="AG24" s="5"/>
      <c r="AH24" s="5"/>
      <c r="AI24" s="5"/>
      <c r="AJ24" s="5"/>
      <c r="AK24" s="5"/>
      <c r="AL24" s="5"/>
    </row>
    <row r="25" spans="1:38" ht="15" customHeight="1" thickBot="1">
      <c r="A25" s="1"/>
      <c r="B25" s="3"/>
      <c r="C25" s="199" t="s">
        <v>58</v>
      </c>
      <c r="D25" s="184">
        <f t="shared" si="12"/>
        <v>0</v>
      </c>
      <c r="E25" s="175">
        <v>0</v>
      </c>
      <c r="F25" s="175">
        <v>0</v>
      </c>
      <c r="G25" s="175">
        <v>0</v>
      </c>
      <c r="H25" s="175">
        <v>0</v>
      </c>
      <c r="I25" s="175">
        <v>60</v>
      </c>
      <c r="J25" s="175">
        <v>0</v>
      </c>
      <c r="K25" s="175">
        <v>0</v>
      </c>
      <c r="L25" s="175">
        <v>0</v>
      </c>
      <c r="M25" s="175">
        <v>0</v>
      </c>
      <c r="N25" s="156">
        <v>1.53</v>
      </c>
      <c r="O25" s="17"/>
      <c r="P25" s="13">
        <f t="shared" si="3"/>
        <v>0</v>
      </c>
      <c r="Q25" s="164">
        <f t="shared" si="4"/>
        <v>0</v>
      </c>
      <c r="R25" s="11">
        <f t="shared" si="5"/>
        <v>0</v>
      </c>
      <c r="S25" s="164">
        <f t="shared" si="6"/>
        <v>0</v>
      </c>
      <c r="T25" s="164">
        <f t="shared" si="7"/>
        <v>0</v>
      </c>
      <c r="U25" s="11">
        <f t="shared" si="8"/>
        <v>0</v>
      </c>
      <c r="V25" s="11">
        <f t="shared" si="9"/>
        <v>0</v>
      </c>
      <c r="W25" s="11">
        <f t="shared" si="10"/>
        <v>0</v>
      </c>
      <c r="X25" s="11">
        <f t="shared" si="11"/>
        <v>0</v>
      </c>
      <c r="Y25" s="14"/>
      <c r="Z25" s="14"/>
      <c r="AA25" s="14"/>
      <c r="AB25" s="15"/>
      <c r="AC25" s="15"/>
      <c r="AD25" s="16"/>
      <c r="AE25" s="256"/>
      <c r="AF25" s="4"/>
      <c r="AG25" s="5"/>
      <c r="AH25" s="5"/>
      <c r="AI25" s="5"/>
      <c r="AJ25" s="5"/>
      <c r="AK25" s="5"/>
      <c r="AL25" s="5"/>
    </row>
    <row r="26" spans="1:38" ht="15" customHeight="1" thickBot="1">
      <c r="A26" s="1"/>
      <c r="B26" s="3"/>
      <c r="C26" s="172" t="s">
        <v>55</v>
      </c>
      <c r="D26" s="184">
        <f t="shared" si="12"/>
        <v>0</v>
      </c>
      <c r="E26" s="175">
        <v>0</v>
      </c>
      <c r="F26" s="175">
        <v>11</v>
      </c>
      <c r="G26" s="175">
        <v>11</v>
      </c>
      <c r="H26" s="175">
        <v>0</v>
      </c>
      <c r="I26" s="175">
        <v>0</v>
      </c>
      <c r="J26" s="175">
        <v>9.3000000000000007</v>
      </c>
      <c r="K26" s="175">
        <v>0</v>
      </c>
      <c r="L26" s="175">
        <v>0</v>
      </c>
      <c r="M26" s="175">
        <v>0</v>
      </c>
      <c r="N26" s="156">
        <v>0.51</v>
      </c>
      <c r="O26" s="17"/>
      <c r="P26" s="13">
        <f t="shared" si="3"/>
        <v>0</v>
      </c>
      <c r="Q26" s="11">
        <f t="shared" si="4"/>
        <v>0</v>
      </c>
      <c r="R26" s="11">
        <f t="shared" si="5"/>
        <v>0</v>
      </c>
      <c r="S26" s="11">
        <f t="shared" si="6"/>
        <v>0</v>
      </c>
      <c r="T26" s="11">
        <f t="shared" si="7"/>
        <v>0</v>
      </c>
      <c r="U26" s="11">
        <f t="shared" si="8"/>
        <v>0</v>
      </c>
      <c r="V26" s="11">
        <f t="shared" si="9"/>
        <v>0</v>
      </c>
      <c r="W26" s="11">
        <f t="shared" si="10"/>
        <v>0</v>
      </c>
      <c r="X26" s="11">
        <f t="shared" si="11"/>
        <v>0</v>
      </c>
      <c r="Y26" s="14"/>
      <c r="Z26" s="14"/>
      <c r="AA26" s="14"/>
      <c r="AB26" s="15"/>
      <c r="AC26" s="15"/>
      <c r="AD26" s="16"/>
      <c r="AE26" s="256"/>
      <c r="AF26" s="4"/>
      <c r="AG26" s="5"/>
      <c r="AH26" s="5"/>
      <c r="AI26" s="5"/>
      <c r="AJ26" s="5"/>
      <c r="AK26" s="5"/>
      <c r="AL26" s="5"/>
    </row>
    <row r="27" spans="1:38" ht="15" customHeight="1" thickBot="1">
      <c r="A27" s="1"/>
      <c r="B27" s="3"/>
      <c r="C27" s="172" t="s">
        <v>56</v>
      </c>
      <c r="D27" s="184">
        <f t="shared" si="12"/>
        <v>0</v>
      </c>
      <c r="E27" s="175">
        <v>0</v>
      </c>
      <c r="F27" s="175">
        <v>0</v>
      </c>
      <c r="G27" s="175">
        <v>0</v>
      </c>
      <c r="H27" s="175">
        <v>0</v>
      </c>
      <c r="I27" s="175">
        <v>50</v>
      </c>
      <c r="J27" s="175">
        <v>0</v>
      </c>
      <c r="K27" s="175">
        <v>17</v>
      </c>
      <c r="L27" s="175">
        <v>0</v>
      </c>
      <c r="M27" s="175">
        <v>0</v>
      </c>
      <c r="N27" s="156">
        <v>1.43</v>
      </c>
      <c r="O27" s="17"/>
      <c r="P27" s="13">
        <f t="shared" si="3"/>
        <v>0</v>
      </c>
      <c r="Q27" s="11">
        <f t="shared" si="4"/>
        <v>0</v>
      </c>
      <c r="R27" s="11">
        <f t="shared" si="5"/>
        <v>0</v>
      </c>
      <c r="S27" s="11">
        <f t="shared" si="6"/>
        <v>0</v>
      </c>
      <c r="T27" s="11">
        <f t="shared" si="7"/>
        <v>0</v>
      </c>
      <c r="U27" s="11">
        <f t="shared" si="8"/>
        <v>0</v>
      </c>
      <c r="V27" s="11">
        <f t="shared" si="9"/>
        <v>0</v>
      </c>
      <c r="W27" s="11">
        <f t="shared" si="10"/>
        <v>0</v>
      </c>
      <c r="X27" s="11">
        <f t="shared" si="11"/>
        <v>0</v>
      </c>
      <c r="Y27" s="14"/>
      <c r="Z27" s="14"/>
      <c r="AA27" s="14"/>
      <c r="AB27" s="15"/>
      <c r="AC27" s="15"/>
      <c r="AD27" s="16"/>
      <c r="AE27" s="256"/>
      <c r="AF27" s="4"/>
      <c r="AG27" s="5"/>
      <c r="AH27" s="5"/>
      <c r="AI27" s="5"/>
      <c r="AJ27" s="5"/>
      <c r="AK27" s="5"/>
      <c r="AL27" s="5"/>
    </row>
    <row r="28" spans="1:38" ht="15" customHeight="1" thickBot="1">
      <c r="A28" s="1"/>
      <c r="B28" s="3"/>
      <c r="C28" s="172" t="s">
        <v>54</v>
      </c>
      <c r="D28" s="184">
        <f t="shared" si="12"/>
        <v>0</v>
      </c>
      <c r="E28" s="175">
        <v>6</v>
      </c>
      <c r="F28" s="175">
        <v>12</v>
      </c>
      <c r="G28" s="175">
        <v>12</v>
      </c>
      <c r="H28" s="175">
        <v>62</v>
      </c>
      <c r="I28" s="175">
        <v>0</v>
      </c>
      <c r="J28" s="175">
        <v>0</v>
      </c>
      <c r="K28" s="175">
        <v>0</v>
      </c>
      <c r="L28" s="175">
        <v>0</v>
      </c>
      <c r="M28" s="175">
        <v>0</v>
      </c>
      <c r="N28" s="156">
        <v>1.35</v>
      </c>
      <c r="O28" s="17"/>
      <c r="P28" s="13">
        <f t="shared" si="3"/>
        <v>0</v>
      </c>
      <c r="Q28" s="11">
        <f t="shared" si="4"/>
        <v>0</v>
      </c>
      <c r="R28" s="11">
        <f t="shared" si="5"/>
        <v>0</v>
      </c>
      <c r="S28" s="11">
        <f t="shared" si="6"/>
        <v>0</v>
      </c>
      <c r="T28" s="11">
        <f t="shared" si="7"/>
        <v>0</v>
      </c>
      <c r="U28" s="11">
        <f t="shared" si="8"/>
        <v>0</v>
      </c>
      <c r="V28" s="11">
        <f t="shared" si="9"/>
        <v>0</v>
      </c>
      <c r="W28" s="11">
        <f t="shared" si="10"/>
        <v>0</v>
      </c>
      <c r="X28" s="11">
        <f t="shared" si="11"/>
        <v>0</v>
      </c>
      <c r="Y28" s="14"/>
      <c r="Z28" s="14"/>
      <c r="AA28" s="14"/>
      <c r="AB28" s="15"/>
      <c r="AC28" s="15"/>
      <c r="AD28" s="16"/>
      <c r="AE28" s="256"/>
      <c r="AF28" s="4"/>
      <c r="AG28" s="5"/>
      <c r="AH28" s="5"/>
      <c r="AI28" s="5"/>
      <c r="AJ28" s="5"/>
      <c r="AK28" s="5"/>
      <c r="AL28" s="5"/>
    </row>
    <row r="29" spans="1:38" ht="15" customHeight="1" thickBot="1">
      <c r="A29" s="1"/>
      <c r="B29" s="3"/>
      <c r="C29" s="172" t="s">
        <v>59</v>
      </c>
      <c r="D29" s="184">
        <f t="shared" si="12"/>
        <v>0</v>
      </c>
      <c r="E29" s="175">
        <v>0</v>
      </c>
      <c r="F29" s="175">
        <v>0</v>
      </c>
      <c r="G29" s="175">
        <v>0</v>
      </c>
      <c r="H29" s="175">
        <v>0</v>
      </c>
      <c r="I29" s="175">
        <v>13</v>
      </c>
      <c r="J29" s="175">
        <v>1.2</v>
      </c>
      <c r="K29" s="175">
        <v>1.8</v>
      </c>
      <c r="L29" s="175">
        <v>0</v>
      </c>
      <c r="M29" s="175">
        <v>0</v>
      </c>
      <c r="N29" s="156">
        <v>0.36</v>
      </c>
      <c r="O29" s="17">
        <v>0</v>
      </c>
      <c r="P29" s="13">
        <f t="shared" si="3"/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4">
        <f>3.4*O29/100</f>
        <v>0</v>
      </c>
      <c r="Z29" s="14">
        <f>0.85*O29/100</f>
        <v>0</v>
      </c>
      <c r="AA29" s="14">
        <f>3.2*O29/100</f>
        <v>0</v>
      </c>
      <c r="AB29" s="15">
        <f>4.2*O29/100</f>
        <v>0</v>
      </c>
      <c r="AC29" s="15">
        <f>0.05*O29/100</f>
        <v>0</v>
      </c>
      <c r="AD29" s="16">
        <f>0.5*O29/100</f>
        <v>0</v>
      </c>
      <c r="AE29" s="256"/>
      <c r="AF29" s="4"/>
      <c r="AG29" s="5"/>
      <c r="AH29" s="5"/>
      <c r="AI29" s="5"/>
      <c r="AJ29" s="5"/>
      <c r="AK29" s="5"/>
      <c r="AL29" s="5"/>
    </row>
    <row r="30" spans="1:38" ht="12.75" customHeight="1" thickBot="1">
      <c r="A30" s="1"/>
      <c r="B30" s="3"/>
      <c r="C30" s="2"/>
      <c r="D30" s="2"/>
      <c r="E30" s="270"/>
      <c r="F30" s="270"/>
      <c r="G30" s="19"/>
      <c r="H30" s="19"/>
      <c r="I30" s="19"/>
      <c r="J30" s="20"/>
      <c r="K30" s="20"/>
      <c r="L30" s="18"/>
      <c r="M30" s="18"/>
      <c r="N30" s="271"/>
      <c r="O30" s="271"/>
      <c r="P30" s="22"/>
      <c r="Q30" s="21"/>
      <c r="R30" s="23"/>
      <c r="S30" s="23"/>
      <c r="T30" s="21"/>
      <c r="U30" s="19"/>
      <c r="V30" s="24"/>
      <c r="W30" s="19"/>
      <c r="X30" s="20"/>
      <c r="Y30" s="2"/>
      <c r="Z30" s="19"/>
      <c r="AA30" s="19"/>
      <c r="AB30" s="20"/>
      <c r="AC30" s="20"/>
      <c r="AD30" s="25"/>
      <c r="AE30" s="256"/>
      <c r="AF30" s="4"/>
      <c r="AG30" s="5"/>
      <c r="AH30" s="5"/>
      <c r="AI30" s="5"/>
      <c r="AJ30" s="5"/>
      <c r="AK30" s="5"/>
      <c r="AL30" s="5"/>
    </row>
    <row r="31" spans="1:38" ht="12.75" customHeight="1" thickTop="1" thickBot="1">
      <c r="A31" s="1"/>
      <c r="B31" s="3"/>
      <c r="C31" s="272" t="s">
        <v>41</v>
      </c>
      <c r="D31" s="273"/>
      <c r="E31" s="274"/>
      <c r="F31" s="274"/>
      <c r="G31" s="274"/>
      <c r="H31" s="274"/>
      <c r="I31" s="275"/>
      <c r="J31" s="20"/>
      <c r="K31" s="20"/>
      <c r="L31" s="18"/>
      <c r="M31" s="18"/>
      <c r="N31" s="20"/>
      <c r="O31" s="19"/>
      <c r="P31" s="26" t="s">
        <v>23</v>
      </c>
      <c r="Q31" s="27"/>
      <c r="R31" s="28"/>
      <c r="S31" s="28"/>
      <c r="T31" s="27"/>
      <c r="U31" s="280" t="s">
        <v>24</v>
      </c>
      <c r="V31" s="281"/>
      <c r="W31" s="281"/>
      <c r="X31" s="281"/>
      <c r="Y31" s="282"/>
      <c r="Z31" s="29"/>
      <c r="AA31" s="30"/>
      <c r="AB31" s="31"/>
      <c r="AC31" s="31"/>
      <c r="AD31" s="32"/>
      <c r="AE31" s="256"/>
      <c r="AF31" s="4"/>
      <c r="AG31" s="5"/>
      <c r="AH31" s="5"/>
      <c r="AI31" s="5"/>
      <c r="AJ31" s="5"/>
      <c r="AK31" s="5"/>
      <c r="AL31" s="5"/>
    </row>
    <row r="32" spans="1:38" ht="15.75" customHeight="1" thickBot="1">
      <c r="A32" s="1"/>
      <c r="B32" s="3"/>
      <c r="C32" s="276"/>
      <c r="D32" s="277"/>
      <c r="E32" s="278"/>
      <c r="F32" s="278"/>
      <c r="G32" s="278"/>
      <c r="H32" s="278"/>
      <c r="I32" s="279"/>
      <c r="J32" s="2"/>
      <c r="K32" s="33"/>
      <c r="L32" s="57"/>
      <c r="M32" s="57"/>
      <c r="N32" s="33"/>
      <c r="O32" s="2"/>
      <c r="P32" s="34" t="s">
        <v>25</v>
      </c>
      <c r="Q32" s="35" t="s">
        <v>7</v>
      </c>
      <c r="R32" s="35" t="s">
        <v>15</v>
      </c>
      <c r="S32" s="35" t="s">
        <v>16</v>
      </c>
      <c r="T32" s="35" t="s">
        <v>8</v>
      </c>
      <c r="U32" s="36" t="s">
        <v>9</v>
      </c>
      <c r="V32" s="36" t="s">
        <v>12</v>
      </c>
      <c r="W32" s="36" t="s">
        <v>10</v>
      </c>
      <c r="X32" s="36" t="s">
        <v>11</v>
      </c>
      <c r="Y32" s="36" t="s">
        <v>17</v>
      </c>
      <c r="Z32" s="37" t="s">
        <v>18</v>
      </c>
      <c r="AA32" s="37" t="s">
        <v>19</v>
      </c>
      <c r="AB32" s="37" t="s">
        <v>20</v>
      </c>
      <c r="AC32" s="37" t="s">
        <v>21</v>
      </c>
      <c r="AD32" s="37" t="s">
        <v>22</v>
      </c>
      <c r="AE32" s="256"/>
      <c r="AF32" s="4"/>
      <c r="AG32" s="5"/>
      <c r="AH32" s="5"/>
      <c r="AI32" s="5"/>
      <c r="AJ32" s="5"/>
      <c r="AK32" s="5"/>
      <c r="AL32" s="5"/>
    </row>
    <row r="33" spans="1:38" ht="14.25" customHeight="1" thickTop="1" thickBot="1">
      <c r="A33" s="1"/>
      <c r="B33" s="3"/>
      <c r="C33" s="94" t="s">
        <v>42</v>
      </c>
      <c r="D33" s="177"/>
      <c r="E33" s="249" t="s">
        <v>43</v>
      </c>
      <c r="F33" s="250"/>
      <c r="G33" s="250"/>
      <c r="H33" s="250"/>
      <c r="I33" s="251"/>
      <c r="J33" s="2"/>
      <c r="K33" s="20"/>
      <c r="L33" s="2"/>
      <c r="M33" s="205" t="s">
        <v>60</v>
      </c>
      <c r="N33" s="203"/>
      <c r="O33" s="38"/>
      <c r="P33" s="39">
        <f t="shared" ref="P33:AD33" si="13">SUM(P17:P29)</f>
        <v>140.04272</v>
      </c>
      <c r="Q33" s="40">
        <f t="shared" si="13"/>
        <v>5900</v>
      </c>
      <c r="R33" s="40">
        <f t="shared" si="13"/>
        <v>4877.32</v>
      </c>
      <c r="S33" s="40">
        <f t="shared" si="13"/>
        <v>1495.3580000000002</v>
      </c>
      <c r="T33" s="40">
        <f t="shared" si="13"/>
        <v>7713.6440000000002</v>
      </c>
      <c r="U33" s="40">
        <f t="shared" si="13"/>
        <v>10698.8</v>
      </c>
      <c r="V33" s="40">
        <f t="shared" si="13"/>
        <v>1284.02</v>
      </c>
      <c r="W33" s="40">
        <f t="shared" si="13"/>
        <v>630</v>
      </c>
      <c r="X33" s="40">
        <f t="shared" si="13"/>
        <v>826</v>
      </c>
      <c r="Y33" s="40">
        <f t="shared" si="13"/>
        <v>0</v>
      </c>
      <c r="Z33" s="41">
        <f t="shared" si="13"/>
        <v>18.02</v>
      </c>
      <c r="AA33" s="41">
        <f t="shared" si="13"/>
        <v>0</v>
      </c>
      <c r="AB33" s="41">
        <f t="shared" si="13"/>
        <v>0</v>
      </c>
      <c r="AC33" s="41">
        <f t="shared" si="13"/>
        <v>0</v>
      </c>
      <c r="AD33" s="42">
        <f t="shared" si="13"/>
        <v>0</v>
      </c>
      <c r="AE33" s="257"/>
      <c r="AF33" s="4"/>
      <c r="AG33" s="5"/>
      <c r="AH33" s="5"/>
      <c r="AI33" s="5"/>
      <c r="AJ33" s="5"/>
      <c r="AK33" s="5"/>
      <c r="AL33" s="5"/>
    </row>
    <row r="34" spans="1:38" ht="13.5" customHeight="1" thickTop="1" thickBot="1">
      <c r="A34" s="1"/>
      <c r="B34" s="3"/>
      <c r="C34" s="97" t="s">
        <v>44</v>
      </c>
      <c r="D34" s="178"/>
      <c r="E34" s="252" t="s">
        <v>9</v>
      </c>
      <c r="F34" s="253"/>
      <c r="G34" s="253"/>
      <c r="H34" s="253"/>
      <c r="I34" s="254"/>
      <c r="J34" s="157"/>
      <c r="K34" s="157"/>
      <c r="L34" s="158"/>
      <c r="M34" s="158"/>
      <c r="N34" s="158"/>
      <c r="O34" s="158"/>
      <c r="P34" s="158"/>
      <c r="Q34" s="158"/>
      <c r="R34" s="157"/>
      <c r="S34" s="157"/>
      <c r="T34" s="157"/>
      <c r="U34" s="157"/>
      <c r="V34" s="157"/>
      <c r="W34" s="157"/>
      <c r="X34" s="157"/>
      <c r="Y34" s="157"/>
      <c r="Z34" s="158"/>
      <c r="AA34" s="158"/>
      <c r="AB34" s="158"/>
      <c r="AC34" s="158"/>
      <c r="AD34" s="158"/>
      <c r="AE34" s="3"/>
      <c r="AF34" s="4"/>
      <c r="AG34" s="5"/>
      <c r="AH34" s="5"/>
      <c r="AI34" s="5"/>
      <c r="AJ34" s="5"/>
      <c r="AK34" s="5"/>
      <c r="AL34" s="5"/>
    </row>
    <row r="35" spans="1:38" ht="13.5" customHeight="1" thickBot="1">
      <c r="A35" s="1"/>
      <c r="B35" s="3"/>
      <c r="C35" s="103" t="s">
        <v>9</v>
      </c>
      <c r="D35" s="179"/>
      <c r="E35" s="245" t="s">
        <v>45</v>
      </c>
      <c r="F35" s="235"/>
      <c r="G35" s="235"/>
      <c r="H35" s="235"/>
      <c r="I35" s="236"/>
      <c r="J35" s="43"/>
      <c r="K35" s="43"/>
      <c r="L35" s="204"/>
      <c r="M35" s="43"/>
      <c r="N35" s="43"/>
      <c r="O35" s="44"/>
      <c r="P35" s="45"/>
      <c r="Q35" s="46"/>
      <c r="R35" s="47"/>
      <c r="S35" s="48"/>
      <c r="T35" s="48"/>
      <c r="U35" s="48"/>
      <c r="V35" s="47"/>
      <c r="W35" s="49"/>
      <c r="X35" s="49"/>
      <c r="Y35" s="50"/>
      <c r="Z35" s="51"/>
      <c r="AA35" s="51"/>
      <c r="AB35" s="51"/>
      <c r="AC35" s="51"/>
      <c r="AD35" s="52"/>
      <c r="AE35" s="3"/>
      <c r="AF35" s="4"/>
      <c r="AG35" s="5"/>
      <c r="AH35" s="5"/>
      <c r="AI35" s="5"/>
      <c r="AJ35" s="5"/>
      <c r="AK35" s="5"/>
      <c r="AL35" s="5"/>
    </row>
    <row r="36" spans="1:38" ht="15.75" customHeight="1" thickBot="1">
      <c r="A36" s="1"/>
      <c r="B36" s="3"/>
      <c r="C36" s="103" t="s">
        <v>47</v>
      </c>
      <c r="D36" s="179"/>
      <c r="E36" s="234" t="s">
        <v>48</v>
      </c>
      <c r="F36" s="235"/>
      <c r="G36" s="235"/>
      <c r="H36" s="235"/>
      <c r="I36" s="236"/>
      <c r="J36" s="2"/>
      <c r="K36" s="2"/>
      <c r="L36" s="226"/>
      <c r="M36" s="226"/>
      <c r="N36" s="227"/>
      <c r="O36" s="248" t="s">
        <v>26</v>
      </c>
      <c r="P36" s="244"/>
      <c r="Q36" s="171">
        <f>(R33/Q33*100)</f>
        <v>82.666440677966108</v>
      </c>
      <c r="R36" s="2"/>
      <c r="S36" s="241" t="s">
        <v>27</v>
      </c>
      <c r="T36" s="242"/>
      <c r="U36" s="53">
        <f>(T33*3.136)</f>
        <v>24189.987584000002</v>
      </c>
      <c r="V36" s="19"/>
      <c r="W36" s="243" t="s">
        <v>28</v>
      </c>
      <c r="X36" s="244"/>
      <c r="Y36" s="54">
        <f>(X33*3)</f>
        <v>2478</v>
      </c>
      <c r="Z36" s="55"/>
      <c r="AA36" s="56"/>
      <c r="AB36" s="33"/>
      <c r="AC36" s="57"/>
      <c r="AD36" s="58"/>
      <c r="AE36" s="3"/>
      <c r="AF36" s="4"/>
      <c r="AG36" s="5"/>
      <c r="AH36" s="5"/>
      <c r="AI36" s="5"/>
      <c r="AJ36" s="5"/>
      <c r="AK36" s="5"/>
      <c r="AL36" s="5"/>
    </row>
    <row r="37" spans="1:38" ht="13.5" customHeight="1" thickBot="1">
      <c r="A37" s="1"/>
      <c r="B37" s="3"/>
      <c r="C37" s="103" t="s">
        <v>12</v>
      </c>
      <c r="D37" s="179"/>
      <c r="E37" s="245" t="s">
        <v>49</v>
      </c>
      <c r="F37" s="235"/>
      <c r="G37" s="235"/>
      <c r="H37" s="235"/>
      <c r="I37" s="236"/>
      <c r="J37" s="2"/>
      <c r="K37" s="2"/>
      <c r="L37" s="2"/>
      <c r="M37" s="2"/>
      <c r="N37" s="2"/>
      <c r="O37" s="246" t="s">
        <v>29</v>
      </c>
      <c r="P37" s="247"/>
      <c r="Q37" s="59">
        <f>(S33/Q33*100)</f>
        <v>25.345050847457628</v>
      </c>
      <c r="R37" s="2"/>
      <c r="S37" s="60"/>
      <c r="T37" s="61"/>
      <c r="U37" s="62"/>
      <c r="V37" s="5"/>
      <c r="W37" s="63"/>
      <c r="X37" s="64"/>
      <c r="Y37" s="2"/>
      <c r="Z37" s="65"/>
      <c r="AA37" s="64"/>
      <c r="AB37" s="33"/>
      <c r="AC37" s="2"/>
      <c r="AD37" s="58"/>
      <c r="AE37" s="3"/>
      <c r="AF37" s="4"/>
      <c r="AG37" s="5"/>
      <c r="AH37" s="5"/>
      <c r="AI37" s="5"/>
      <c r="AJ37" s="5"/>
      <c r="AK37" s="5"/>
      <c r="AL37" s="5"/>
    </row>
    <row r="38" spans="1:38" ht="13.5" customHeight="1" thickBot="1">
      <c r="A38" s="1"/>
      <c r="B38" s="3"/>
      <c r="C38" s="103" t="s">
        <v>10</v>
      </c>
      <c r="D38" s="179"/>
      <c r="E38" s="234" t="s">
        <v>12</v>
      </c>
      <c r="F38" s="235"/>
      <c r="G38" s="235"/>
      <c r="H38" s="235"/>
      <c r="I38" s="236"/>
      <c r="J38" s="2"/>
      <c r="K38" s="2"/>
      <c r="L38" s="2"/>
      <c r="M38" s="2"/>
      <c r="N38" s="2"/>
      <c r="O38" s="2"/>
      <c r="P38" s="2"/>
      <c r="Q38" s="5"/>
      <c r="R38" s="2"/>
      <c r="S38" s="2"/>
      <c r="T38" s="66"/>
      <c r="U38" s="66"/>
      <c r="V38" s="5"/>
      <c r="W38" s="65"/>
      <c r="X38" s="2"/>
      <c r="Y38" s="2"/>
      <c r="Z38" s="2"/>
      <c r="AA38" s="2"/>
      <c r="AB38" s="33"/>
      <c r="AC38" s="2"/>
      <c r="AD38" s="58"/>
      <c r="AE38" s="3"/>
      <c r="AF38" s="4"/>
      <c r="AG38" s="5"/>
      <c r="AH38" s="5"/>
      <c r="AI38" s="5"/>
      <c r="AJ38" s="5"/>
      <c r="AK38" s="5"/>
      <c r="AL38" s="5"/>
    </row>
    <row r="39" spans="1:38" ht="14.25" customHeight="1" thickTop="1" thickBot="1">
      <c r="A39" s="1"/>
      <c r="B39" s="3"/>
      <c r="C39" s="103" t="s">
        <v>17</v>
      </c>
      <c r="D39" s="179"/>
      <c r="E39" s="234" t="s">
        <v>19</v>
      </c>
      <c r="F39" s="235"/>
      <c r="G39" s="235"/>
      <c r="H39" s="235"/>
      <c r="I39" s="236"/>
      <c r="J39" s="2"/>
      <c r="K39" s="2"/>
      <c r="L39" s="2"/>
      <c r="M39" s="2"/>
      <c r="N39" s="67"/>
      <c r="O39" s="68"/>
      <c r="P39" s="69"/>
      <c r="Q39" s="70"/>
      <c r="R39" s="71"/>
      <c r="S39" s="72"/>
      <c r="T39" s="70"/>
      <c r="U39" s="70"/>
      <c r="V39" s="73"/>
      <c r="W39" s="68"/>
      <c r="X39" s="70"/>
      <c r="Y39" s="70"/>
      <c r="Z39" s="74"/>
      <c r="AA39" s="2"/>
      <c r="AB39" s="57"/>
      <c r="AC39" s="2"/>
      <c r="AD39" s="75"/>
      <c r="AE39" s="3"/>
      <c r="AF39" s="4"/>
      <c r="AG39" s="5"/>
      <c r="AH39" s="5"/>
      <c r="AI39" s="5"/>
      <c r="AJ39" s="5"/>
      <c r="AK39" s="5"/>
      <c r="AL39" s="5"/>
    </row>
    <row r="40" spans="1:38" ht="14.25" customHeight="1" thickTop="1" thickBot="1">
      <c r="A40" s="1"/>
      <c r="B40" s="3"/>
      <c r="C40" s="103" t="s">
        <v>19</v>
      </c>
      <c r="D40" s="179"/>
      <c r="E40" s="234" t="s">
        <v>17</v>
      </c>
      <c r="F40" s="235"/>
      <c r="G40" s="235"/>
      <c r="H40" s="235"/>
      <c r="I40" s="236"/>
      <c r="J40" s="2"/>
      <c r="K40" s="2"/>
      <c r="L40" s="2"/>
      <c r="M40" s="2"/>
      <c r="N40" s="76"/>
      <c r="O40" s="77"/>
      <c r="P40" s="55"/>
      <c r="Q40" s="19"/>
      <c r="R40" s="78"/>
      <c r="S40" s="228" t="s">
        <v>30</v>
      </c>
      <c r="T40" s="229"/>
      <c r="U40" s="230"/>
      <c r="V40" s="79"/>
      <c r="W40" s="77"/>
      <c r="X40" s="19"/>
      <c r="Y40" s="19"/>
      <c r="Z40" s="80"/>
      <c r="AA40" s="2"/>
      <c r="AB40" s="57"/>
      <c r="AC40" s="2"/>
      <c r="AD40" s="75"/>
      <c r="AE40" s="3"/>
      <c r="AF40" s="4"/>
      <c r="AG40" s="5"/>
      <c r="AH40" s="5"/>
      <c r="AI40" s="5"/>
      <c r="AJ40" s="5"/>
      <c r="AK40" s="5"/>
      <c r="AL40" s="5"/>
    </row>
    <row r="41" spans="1:38" ht="13.5" customHeight="1" thickBot="1">
      <c r="A41" s="1"/>
      <c r="B41" s="3"/>
      <c r="C41" s="216" t="s">
        <v>84</v>
      </c>
      <c r="D41" s="180"/>
      <c r="E41" s="237" t="s">
        <v>51</v>
      </c>
      <c r="F41" s="238"/>
      <c r="G41" s="238"/>
      <c r="H41" s="238"/>
      <c r="I41" s="239"/>
      <c r="J41" s="2"/>
      <c r="K41" s="2"/>
      <c r="L41" s="2"/>
      <c r="M41" s="2"/>
      <c r="N41" s="76"/>
      <c r="O41" s="77"/>
      <c r="P41" s="55"/>
      <c r="Q41" s="19"/>
      <c r="R41" s="78"/>
      <c r="S41" s="81"/>
      <c r="T41" s="19"/>
      <c r="U41" s="19"/>
      <c r="V41" s="79"/>
      <c r="W41" s="77"/>
      <c r="X41" s="19"/>
      <c r="Y41" s="19"/>
      <c r="Z41" s="80"/>
      <c r="AA41" s="2"/>
      <c r="AB41" s="57"/>
      <c r="AC41" s="2"/>
      <c r="AD41" s="75"/>
      <c r="AE41" s="3"/>
      <c r="AF41" s="4"/>
      <c r="AG41" s="5"/>
      <c r="AH41" s="5"/>
      <c r="AI41" s="5"/>
      <c r="AJ41" s="5"/>
      <c r="AK41" s="5"/>
      <c r="AL41" s="5"/>
    </row>
    <row r="42" spans="1:38" ht="12.75" customHeight="1" thickTop="1">
      <c r="A42" s="1"/>
      <c r="B42" s="3"/>
      <c r="C42" s="161"/>
      <c r="D42" s="161"/>
      <c r="E42" s="223"/>
      <c r="F42" s="224"/>
      <c r="G42" s="160"/>
      <c r="H42" s="2"/>
      <c r="I42" s="2"/>
      <c r="J42" s="2"/>
      <c r="K42" s="2"/>
      <c r="L42" s="2"/>
      <c r="M42" s="2"/>
      <c r="N42" s="82"/>
      <c r="O42" s="77"/>
      <c r="P42" s="211"/>
      <c r="Q42" s="212" t="s">
        <v>31</v>
      </c>
      <c r="R42" s="213"/>
      <c r="S42" s="214"/>
      <c r="T42" s="215"/>
      <c r="U42" s="240" t="s">
        <v>32</v>
      </c>
      <c r="V42" s="240"/>
      <c r="W42" s="240"/>
      <c r="X42" s="240"/>
      <c r="Y42" s="240"/>
      <c r="Z42" s="80"/>
      <c r="AA42" s="2"/>
      <c r="AB42" s="57"/>
      <c r="AC42" s="2"/>
      <c r="AD42" s="75"/>
      <c r="AE42" s="3"/>
      <c r="AF42" s="4"/>
      <c r="AG42" s="5"/>
      <c r="AH42" s="5"/>
      <c r="AI42" s="5"/>
      <c r="AJ42" s="5"/>
      <c r="AK42" s="5"/>
      <c r="AL42" s="5"/>
    </row>
    <row r="43" spans="1:38" ht="13.5" customHeight="1" thickBot="1">
      <c r="A43" s="1"/>
      <c r="B43" s="3"/>
      <c r="C43" s="161"/>
      <c r="D43" s="161"/>
      <c r="E43" s="223"/>
      <c r="F43" s="224"/>
      <c r="G43" s="160"/>
      <c r="H43" s="2"/>
      <c r="I43" s="2"/>
      <c r="J43" s="2"/>
      <c r="K43" s="2"/>
      <c r="L43" s="2"/>
      <c r="M43" s="2"/>
      <c r="N43" s="225"/>
      <c r="O43" s="219"/>
      <c r="P43" s="19"/>
      <c r="Q43" s="19"/>
      <c r="R43" s="231"/>
      <c r="S43" s="219"/>
      <c r="T43" s="19"/>
      <c r="U43" s="232"/>
      <c r="V43" s="219"/>
      <c r="W43" s="19"/>
      <c r="X43" s="19"/>
      <c r="Y43" s="19"/>
      <c r="Z43" s="80"/>
      <c r="AA43" s="2"/>
      <c r="AB43" s="57"/>
      <c r="AC43" s="2"/>
      <c r="AD43" s="75"/>
      <c r="AE43" s="3"/>
      <c r="AF43" s="4"/>
      <c r="AG43" s="5"/>
      <c r="AH43" s="5"/>
      <c r="AI43" s="5"/>
      <c r="AJ43" s="5"/>
      <c r="AK43" s="5"/>
      <c r="AL43" s="5"/>
    </row>
    <row r="44" spans="1:38" ht="16.5" customHeight="1" thickTop="1" thickBot="1">
      <c r="A44" s="1"/>
      <c r="B44" s="3"/>
      <c r="C44" s="161"/>
      <c r="D44" s="161"/>
      <c r="E44" s="233"/>
      <c r="F44" s="224"/>
      <c r="G44" s="160"/>
      <c r="H44" s="2"/>
      <c r="I44" s="2"/>
      <c r="J44" s="2"/>
      <c r="K44" s="2"/>
      <c r="L44" s="2"/>
      <c r="M44" s="2"/>
      <c r="N44" s="225"/>
      <c r="O44" s="219"/>
      <c r="P44" s="83" t="s">
        <v>33</v>
      </c>
      <c r="Q44" s="83" t="s">
        <v>34</v>
      </c>
      <c r="R44" s="83" t="s">
        <v>35</v>
      </c>
      <c r="S44" s="83" t="s">
        <v>36</v>
      </c>
      <c r="T44" s="19"/>
      <c r="U44" s="83" t="s">
        <v>37</v>
      </c>
      <c r="V44" s="83"/>
      <c r="W44" s="83" t="s">
        <v>38</v>
      </c>
      <c r="X44" s="83"/>
      <c r="Y44" s="83" t="s">
        <v>28</v>
      </c>
      <c r="Z44" s="80"/>
      <c r="AA44" s="2"/>
      <c r="AB44" s="57"/>
      <c r="AC44" s="2"/>
      <c r="AD44" s="75"/>
      <c r="AE44" s="3"/>
      <c r="AF44" s="4"/>
      <c r="AG44" s="5"/>
      <c r="AH44" s="5"/>
      <c r="AI44" s="5"/>
      <c r="AJ44" s="5"/>
      <c r="AK44" s="5"/>
      <c r="AL44" s="5"/>
    </row>
    <row r="45" spans="1:38" ht="13.5" customHeight="1" thickTop="1">
      <c r="A45" s="1"/>
      <c r="B45" s="3"/>
      <c r="C45" s="161"/>
      <c r="D45" s="161"/>
      <c r="E45" s="223"/>
      <c r="F45" s="224"/>
      <c r="G45" s="160"/>
      <c r="H45" s="2"/>
      <c r="I45" s="2"/>
      <c r="J45" s="2"/>
      <c r="K45" s="2"/>
      <c r="L45" s="2"/>
      <c r="M45" s="2"/>
      <c r="N45" s="225"/>
      <c r="O45" s="219"/>
      <c r="P45" s="84"/>
      <c r="Q45" s="85"/>
      <c r="R45" s="85"/>
      <c r="S45" s="85"/>
      <c r="T45" s="19"/>
      <c r="U45" s="85"/>
      <c r="V45" s="85"/>
      <c r="W45" s="85"/>
      <c r="X45" s="85"/>
      <c r="Y45" s="85"/>
      <c r="Z45" s="80"/>
      <c r="AA45" s="2"/>
      <c r="AB45" s="57"/>
      <c r="AC45" s="2"/>
      <c r="AD45" s="75"/>
      <c r="AE45" s="3"/>
      <c r="AF45" s="4"/>
      <c r="AG45" s="5"/>
      <c r="AH45" s="5"/>
      <c r="AI45" s="5"/>
      <c r="AJ45" s="5"/>
      <c r="AK45" s="5"/>
      <c r="AL45" s="5"/>
    </row>
    <row r="46" spans="1:38" ht="12.75" customHeight="1">
      <c r="A46" s="1"/>
      <c r="B46" s="3"/>
      <c r="C46" s="161"/>
      <c r="D46" s="161"/>
      <c r="E46" s="223"/>
      <c r="F46" s="224"/>
      <c r="G46" s="160"/>
      <c r="H46" s="2"/>
      <c r="I46" s="2"/>
      <c r="J46" s="2"/>
      <c r="K46" s="2"/>
      <c r="L46" s="2"/>
      <c r="M46" s="2"/>
      <c r="N46" s="86"/>
      <c r="O46" s="79" t="s">
        <v>39</v>
      </c>
      <c r="P46" s="87">
        <f>S33</f>
        <v>1495.3580000000002</v>
      </c>
      <c r="Q46" s="84">
        <f t="shared" ref="Q46:S46" si="14">U33</f>
        <v>10698.8</v>
      </c>
      <c r="R46" s="87">
        <f t="shared" si="14"/>
        <v>1284.02</v>
      </c>
      <c r="S46" s="87">
        <f t="shared" si="14"/>
        <v>630</v>
      </c>
      <c r="T46" s="19"/>
      <c r="U46" s="87">
        <f>(R33)</f>
        <v>4877.32</v>
      </c>
      <c r="V46" s="85"/>
      <c r="W46" s="85">
        <f>(T33*3.136)</f>
        <v>24189.987584000002</v>
      </c>
      <c r="X46" s="85"/>
      <c r="Y46" s="85"/>
      <c r="Z46" s="80"/>
      <c r="AA46" s="2"/>
      <c r="AB46" s="57"/>
      <c r="AC46" s="2"/>
      <c r="AD46" s="75"/>
      <c r="AE46" s="3"/>
      <c r="AF46" s="4"/>
      <c r="AG46" s="5"/>
      <c r="AH46" s="5"/>
      <c r="AI46" s="5"/>
      <c r="AJ46" s="5"/>
      <c r="AK46" s="5"/>
      <c r="AL46" s="5"/>
    </row>
    <row r="47" spans="1:38" ht="12.75" customHeight="1">
      <c r="A47" s="1"/>
      <c r="B47" s="3"/>
      <c r="C47" s="160"/>
      <c r="D47" s="160"/>
      <c r="E47" s="160"/>
      <c r="F47" s="160"/>
      <c r="G47" s="160"/>
      <c r="H47" s="2"/>
      <c r="I47" s="2"/>
      <c r="J47" s="2"/>
      <c r="K47" s="2"/>
      <c r="L47" s="2"/>
      <c r="M47" s="2"/>
      <c r="N47" s="225"/>
      <c r="O47" s="219"/>
      <c r="P47" s="85"/>
      <c r="Q47" s="85"/>
      <c r="R47" s="85"/>
      <c r="S47" s="85"/>
      <c r="T47" s="19"/>
      <c r="U47" s="85"/>
      <c r="V47" s="85"/>
      <c r="W47" s="85"/>
      <c r="X47" s="85"/>
      <c r="Y47" s="85"/>
      <c r="Z47" s="80"/>
      <c r="AA47" s="2"/>
      <c r="AB47" s="57"/>
      <c r="AC47" s="2"/>
      <c r="AD47" s="75"/>
      <c r="AE47" s="3"/>
      <c r="AF47" s="4"/>
      <c r="AG47" s="5"/>
      <c r="AH47" s="5"/>
      <c r="AI47" s="5"/>
      <c r="AJ47" s="5"/>
      <c r="AK47" s="5"/>
      <c r="AL47" s="5"/>
    </row>
    <row r="48" spans="1:38" ht="12.75" customHeight="1">
      <c r="A48" s="1"/>
      <c r="B48" s="3"/>
      <c r="C48" s="160"/>
      <c r="D48" s="160"/>
      <c r="E48" s="160"/>
      <c r="F48" s="160"/>
      <c r="G48" s="160"/>
      <c r="H48" s="2"/>
      <c r="I48" s="2"/>
      <c r="J48" s="2"/>
      <c r="K48" s="2"/>
      <c r="L48" s="2"/>
      <c r="M48" s="2"/>
      <c r="N48" s="86"/>
      <c r="O48" s="79" t="s">
        <v>40</v>
      </c>
      <c r="P48" s="88">
        <f>S33/14</f>
        <v>106.81128571428573</v>
      </c>
      <c r="Q48" s="88">
        <f>U33/39.1</f>
        <v>273.62659846547314</v>
      </c>
      <c r="R48" s="88">
        <f>V33/40</f>
        <v>32.100499999999997</v>
      </c>
      <c r="S48" s="88">
        <f>W33/24.3</f>
        <v>25.925925925925924</v>
      </c>
      <c r="T48" s="19"/>
      <c r="U48" s="85">
        <f>R33/14</f>
        <v>348.38</v>
      </c>
      <c r="V48" s="85"/>
      <c r="W48" s="85">
        <f>(U36/96.986)</f>
        <v>249.41731367413854</v>
      </c>
      <c r="X48" s="85"/>
      <c r="Y48" s="85">
        <f>(Y36/96.06)</f>
        <v>25.79637726420987</v>
      </c>
      <c r="Z48" s="80"/>
      <c r="AA48" s="2"/>
      <c r="AB48" s="57"/>
      <c r="AC48" s="2"/>
      <c r="AD48" s="75"/>
      <c r="AE48" s="3"/>
      <c r="AF48" s="4"/>
      <c r="AG48" s="5"/>
      <c r="AH48" s="5"/>
      <c r="AI48" s="5"/>
      <c r="AJ48" s="5"/>
      <c r="AK48" s="5"/>
      <c r="AL48" s="5"/>
    </row>
    <row r="49" spans="1:38" ht="8.25" customHeight="1" thickBot="1">
      <c r="A49" s="1"/>
      <c r="B49" s="3"/>
      <c r="C49" s="2"/>
      <c r="D49" s="2"/>
      <c r="E49" s="79"/>
      <c r="F49" s="79"/>
      <c r="G49" s="2"/>
      <c r="H49" s="2"/>
      <c r="I49" s="2"/>
      <c r="J49" s="2"/>
      <c r="K49" s="2"/>
      <c r="L49" s="2"/>
      <c r="M49" s="2"/>
      <c r="N49" s="86"/>
      <c r="O49" s="19"/>
      <c r="P49" s="89"/>
      <c r="Q49" s="89"/>
      <c r="R49" s="89"/>
      <c r="S49" s="89"/>
      <c r="T49" s="19"/>
      <c r="U49" s="89"/>
      <c r="V49" s="89"/>
      <c r="W49" s="89"/>
      <c r="X49" s="89"/>
      <c r="Y49" s="89"/>
      <c r="Z49" s="80"/>
      <c r="AA49" s="2"/>
      <c r="AB49" s="57"/>
      <c r="AC49" s="2"/>
      <c r="AD49" s="75"/>
      <c r="AE49" s="3"/>
      <c r="AF49" s="4"/>
      <c r="AG49" s="5"/>
      <c r="AH49" s="5"/>
      <c r="AI49" s="5"/>
      <c r="AJ49" s="5"/>
      <c r="AK49" s="5"/>
      <c r="AL49" s="5"/>
    </row>
    <row r="50" spans="1:38" ht="16.5" customHeight="1" thickTop="1" thickBot="1">
      <c r="A50" s="1"/>
      <c r="B50" s="3"/>
      <c r="J50" s="2"/>
      <c r="K50" s="2"/>
      <c r="L50" s="2"/>
      <c r="M50" s="2"/>
      <c r="N50" s="86"/>
      <c r="O50" s="226"/>
      <c r="P50" s="227"/>
      <c r="Q50" s="162">
        <f>P48+Q48+R48+S48</f>
        <v>438.46431010568477</v>
      </c>
      <c r="R50" s="19">
        <v>300</v>
      </c>
      <c r="S50" s="19"/>
      <c r="T50" s="19"/>
      <c r="U50" s="19"/>
      <c r="V50" s="19"/>
      <c r="W50" s="90">
        <f>U48+W48+Y48</f>
        <v>623.59369093834846</v>
      </c>
      <c r="X50" s="19"/>
      <c r="Y50" s="19">
        <v>9000</v>
      </c>
      <c r="Z50" s="80"/>
      <c r="AA50" s="2"/>
      <c r="AB50" s="2"/>
      <c r="AC50" s="2"/>
      <c r="AD50" s="75"/>
      <c r="AE50" s="3"/>
      <c r="AF50" s="4"/>
      <c r="AG50" s="5"/>
      <c r="AH50" s="5"/>
      <c r="AI50" s="5"/>
      <c r="AJ50" s="5"/>
      <c r="AK50" s="5"/>
      <c r="AL50" s="5"/>
    </row>
    <row r="51" spans="1:38" ht="14.25" customHeight="1" thickTop="1" thickBot="1">
      <c r="A51" s="1"/>
      <c r="B51" s="3"/>
      <c r="J51" s="2"/>
      <c r="K51" s="2"/>
      <c r="L51" s="2"/>
      <c r="M51" s="2"/>
      <c r="N51" s="91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3"/>
      <c r="AA51" s="2"/>
      <c r="AB51" s="2"/>
      <c r="AC51" s="2"/>
      <c r="AD51" s="75"/>
      <c r="AE51" s="3"/>
      <c r="AF51" s="4"/>
      <c r="AG51" s="5"/>
      <c r="AH51" s="5"/>
      <c r="AI51" s="5"/>
      <c r="AJ51" s="5"/>
      <c r="AK51" s="5"/>
      <c r="AL51" s="5"/>
    </row>
    <row r="52" spans="1:38" ht="17.25" customHeight="1" thickTop="1" thickBot="1">
      <c r="A52" s="1"/>
      <c r="B52" s="3"/>
      <c r="J52" s="2"/>
      <c r="K52" s="2"/>
      <c r="L52" s="2"/>
      <c r="M52" s="2"/>
      <c r="N52" s="70"/>
      <c r="O52" s="19"/>
      <c r="P52" s="95"/>
      <c r="Q52" s="96"/>
      <c r="R52" s="19"/>
      <c r="S52" s="19"/>
      <c r="T52" s="19"/>
      <c r="U52" s="19"/>
      <c r="V52" s="19"/>
      <c r="W52" s="19"/>
      <c r="X52" s="19"/>
      <c r="Y52" s="19"/>
      <c r="Z52" s="70"/>
      <c r="AA52" s="2"/>
      <c r="AB52" s="2"/>
      <c r="AC52" s="2"/>
      <c r="AD52" s="75"/>
      <c r="AE52" s="3"/>
      <c r="AF52" s="4"/>
      <c r="AG52" s="5"/>
      <c r="AH52" s="5"/>
      <c r="AI52" s="5"/>
      <c r="AJ52" s="5"/>
      <c r="AK52" s="5"/>
      <c r="AL52" s="5"/>
    </row>
    <row r="53" spans="1:38" ht="18" customHeight="1" thickTop="1" thickBot="1">
      <c r="A53" s="1"/>
      <c r="B53" s="3"/>
      <c r="J53" s="2"/>
      <c r="K53" s="2"/>
      <c r="L53" s="2"/>
      <c r="M53" s="2"/>
      <c r="N53" s="98"/>
      <c r="O53" s="99"/>
      <c r="P53" s="99"/>
      <c r="Q53" s="99"/>
      <c r="R53" s="99"/>
      <c r="S53" s="99"/>
      <c r="T53" s="99"/>
      <c r="U53" s="100"/>
      <c r="V53" s="101"/>
      <c r="W53" s="101"/>
      <c r="X53" s="101"/>
      <c r="Y53" s="100"/>
      <c r="Z53" s="102"/>
      <c r="AA53" s="2"/>
      <c r="AB53" s="2"/>
      <c r="AC53" s="2"/>
      <c r="AD53" s="75"/>
      <c r="AE53" s="3"/>
      <c r="AF53" s="4"/>
      <c r="AG53" s="5"/>
      <c r="AH53" s="5"/>
      <c r="AI53" s="5"/>
      <c r="AJ53" s="5"/>
      <c r="AK53" s="5"/>
      <c r="AL53" s="5"/>
    </row>
    <row r="54" spans="1:38" ht="16.5" customHeight="1" thickTop="1" thickBot="1">
      <c r="A54" s="1"/>
      <c r="B54" s="3"/>
      <c r="J54" s="104"/>
      <c r="K54" s="5"/>
      <c r="L54" s="2"/>
      <c r="M54" s="2"/>
      <c r="N54" s="105"/>
      <c r="O54" s="2"/>
      <c r="P54" s="2"/>
      <c r="Q54" s="2"/>
      <c r="R54" s="2"/>
      <c r="S54" s="228" t="s">
        <v>46</v>
      </c>
      <c r="T54" s="229"/>
      <c r="U54" s="230"/>
      <c r="V54" s="19"/>
      <c r="W54" s="19"/>
      <c r="X54" s="19"/>
      <c r="Y54" s="19"/>
      <c r="Z54" s="106"/>
      <c r="AA54" s="2"/>
      <c r="AB54" s="2"/>
      <c r="AC54" s="2"/>
      <c r="AD54" s="75"/>
      <c r="AE54" s="3"/>
      <c r="AF54" s="4"/>
      <c r="AG54" s="5"/>
      <c r="AH54" s="5"/>
      <c r="AI54" s="5"/>
      <c r="AJ54" s="5"/>
      <c r="AK54" s="5"/>
      <c r="AL54" s="5"/>
    </row>
    <row r="55" spans="1:38" ht="15.75" customHeight="1" thickTop="1">
      <c r="A55" s="1"/>
      <c r="B55" s="3"/>
      <c r="J55" s="2"/>
      <c r="K55" s="2"/>
      <c r="L55" s="2"/>
      <c r="M55" s="2"/>
      <c r="N55" s="105"/>
      <c r="O55" s="2"/>
      <c r="P55" s="2"/>
      <c r="Q55" s="2"/>
      <c r="R55" s="2"/>
      <c r="S55" s="2"/>
      <c r="T55" s="2"/>
      <c r="U55" s="19"/>
      <c r="V55" s="107"/>
      <c r="W55" s="55"/>
      <c r="X55" s="55"/>
      <c r="Y55" s="19"/>
      <c r="Z55" s="106"/>
      <c r="AA55" s="2"/>
      <c r="AB55" s="2"/>
      <c r="AC55" s="2"/>
      <c r="AD55" s="75"/>
      <c r="AE55" s="3"/>
      <c r="AF55" s="4"/>
      <c r="AG55" s="5"/>
      <c r="AH55" s="5"/>
      <c r="AI55" s="5"/>
      <c r="AJ55" s="5"/>
      <c r="AK55" s="5"/>
      <c r="AL55" s="5"/>
    </row>
    <row r="56" spans="1:38" ht="17.25" customHeight="1">
      <c r="A56" s="1"/>
      <c r="B56" s="3"/>
      <c r="J56" s="2"/>
      <c r="K56" s="2"/>
      <c r="L56" s="2"/>
      <c r="M56" s="2"/>
      <c r="N56" s="105"/>
      <c r="O56" s="19"/>
      <c r="P56" s="217"/>
      <c r="Q56" s="218"/>
      <c r="R56" s="219"/>
      <c r="S56" s="19"/>
      <c r="T56" s="19"/>
      <c r="U56" s="19"/>
      <c r="V56" s="19"/>
      <c r="W56" s="19"/>
      <c r="X56" s="19"/>
      <c r="Y56" s="19"/>
      <c r="Z56" s="106"/>
      <c r="AA56" s="2"/>
      <c r="AB56" s="2"/>
      <c r="AC56" s="2"/>
      <c r="AD56" s="75"/>
      <c r="AE56" s="3"/>
      <c r="AF56" s="4"/>
      <c r="AG56" s="5"/>
      <c r="AH56" s="5"/>
      <c r="AI56" s="5"/>
      <c r="AJ56" s="5"/>
      <c r="AK56" s="5"/>
      <c r="AL56" s="5"/>
    </row>
    <row r="57" spans="1:38" ht="17.25" customHeight="1" thickBot="1">
      <c r="A57" s="1"/>
      <c r="B57" s="3"/>
      <c r="J57" s="2"/>
      <c r="K57" s="2"/>
      <c r="L57" s="2"/>
      <c r="M57" s="2"/>
      <c r="N57" s="105"/>
      <c r="O57" s="108"/>
      <c r="P57" s="109"/>
      <c r="Q57" s="110"/>
      <c r="R57" s="111"/>
      <c r="S57" s="112"/>
      <c r="T57" s="113"/>
      <c r="U57" s="19"/>
      <c r="V57" s="114"/>
      <c r="W57" s="79"/>
      <c r="X57" s="114"/>
      <c r="Y57" s="19"/>
      <c r="Z57" s="106"/>
      <c r="AA57" s="2"/>
      <c r="AB57" s="2"/>
      <c r="AC57" s="2"/>
      <c r="AD57" s="75"/>
      <c r="AE57" s="3"/>
      <c r="AF57" s="4"/>
      <c r="AG57" s="5"/>
      <c r="AH57" s="5"/>
      <c r="AI57" s="5"/>
      <c r="AJ57" s="5"/>
      <c r="AK57" s="5"/>
      <c r="AL57" s="5"/>
    </row>
    <row r="58" spans="1:38" ht="16.5" customHeight="1" thickTop="1" thickBot="1">
      <c r="A58" s="1"/>
      <c r="B58" s="3"/>
      <c r="J58" s="2"/>
      <c r="K58" s="2"/>
      <c r="L58" s="2"/>
      <c r="M58" s="2"/>
      <c r="N58" s="105"/>
      <c r="O58" s="19"/>
      <c r="P58" s="220" t="s">
        <v>50</v>
      </c>
      <c r="Q58" s="221"/>
      <c r="R58" s="221"/>
      <c r="S58" s="222"/>
      <c r="T58" s="19"/>
      <c r="U58" s="19"/>
      <c r="V58" s="19"/>
      <c r="W58" s="19"/>
      <c r="X58" s="19"/>
      <c r="Y58" s="19"/>
      <c r="Z58" s="106"/>
      <c r="AA58" s="2"/>
      <c r="AB58" s="2"/>
      <c r="AC58" s="2"/>
      <c r="AD58" s="75"/>
      <c r="AE58" s="3"/>
      <c r="AF58" s="4"/>
      <c r="AG58" s="5"/>
      <c r="AH58" s="5"/>
      <c r="AI58" s="5"/>
      <c r="AJ58" s="5"/>
      <c r="AK58" s="5"/>
      <c r="AL58" s="5"/>
    </row>
    <row r="59" spans="1:38" ht="18" customHeight="1" thickTop="1">
      <c r="A59" s="1"/>
      <c r="B59" s="3"/>
      <c r="J59" s="2"/>
      <c r="K59" s="2"/>
      <c r="L59" s="2"/>
      <c r="M59" s="2"/>
      <c r="N59" s="115"/>
      <c r="O59" s="116" t="s">
        <v>7</v>
      </c>
      <c r="P59" s="117" t="s">
        <v>8</v>
      </c>
      <c r="Q59" s="118" t="s">
        <v>9</v>
      </c>
      <c r="R59" s="119" t="s">
        <v>12</v>
      </c>
      <c r="S59" s="120" t="s">
        <v>10</v>
      </c>
      <c r="T59" s="121" t="s">
        <v>11</v>
      </c>
      <c r="U59" s="2"/>
      <c r="V59" s="2"/>
      <c r="W59" s="2"/>
      <c r="X59" s="2"/>
      <c r="Y59" s="2"/>
      <c r="Z59" s="122"/>
      <c r="AA59" s="2"/>
      <c r="AB59" s="2"/>
      <c r="AC59" s="2"/>
      <c r="AD59" s="75"/>
      <c r="AE59" s="3"/>
      <c r="AF59" s="4"/>
      <c r="AG59" s="5"/>
      <c r="AH59" s="5"/>
      <c r="AI59" s="5"/>
      <c r="AJ59" s="5"/>
      <c r="AK59" s="5"/>
      <c r="AL59" s="5"/>
    </row>
    <row r="60" spans="1:38" ht="17.25" customHeight="1">
      <c r="A60" s="1"/>
      <c r="B60" s="3"/>
      <c r="J60" s="2"/>
      <c r="K60" s="2"/>
      <c r="L60" s="2"/>
      <c r="M60" s="2"/>
      <c r="N60" s="115"/>
      <c r="O60" s="123"/>
      <c r="P60" s="124"/>
      <c r="Q60" s="124"/>
      <c r="R60" s="124"/>
      <c r="S60" s="124"/>
      <c r="T60" s="125"/>
      <c r="U60" s="2"/>
      <c r="V60" s="2"/>
      <c r="W60" s="2"/>
      <c r="X60" s="2"/>
      <c r="Y60" s="2"/>
      <c r="Z60" s="122"/>
      <c r="AA60" s="2"/>
      <c r="AB60" s="2"/>
      <c r="AC60" s="2"/>
      <c r="AD60" s="75"/>
      <c r="AE60" s="3"/>
      <c r="AF60" s="4"/>
      <c r="AG60" s="5"/>
      <c r="AH60" s="5"/>
      <c r="AI60" s="5"/>
      <c r="AJ60" s="5"/>
      <c r="AK60" s="5"/>
      <c r="AL60" s="5"/>
    </row>
    <row r="61" spans="1:38" ht="14.25" customHeight="1" thickBot="1">
      <c r="A61" s="1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15"/>
      <c r="O61" s="126">
        <f>(Q33)</f>
        <v>5900</v>
      </c>
      <c r="P61" s="127">
        <f t="shared" ref="P61:T61" si="15">(T33)</f>
        <v>7713.6440000000002</v>
      </c>
      <c r="Q61" s="127">
        <f t="shared" si="15"/>
        <v>10698.8</v>
      </c>
      <c r="R61" s="127">
        <f t="shared" si="15"/>
        <v>1284.02</v>
      </c>
      <c r="S61" s="127">
        <f t="shared" si="15"/>
        <v>630</v>
      </c>
      <c r="T61" s="128">
        <f t="shared" si="15"/>
        <v>826</v>
      </c>
      <c r="U61" s="2"/>
      <c r="V61" s="2"/>
      <c r="W61" s="2"/>
      <c r="X61" s="2"/>
      <c r="Y61" s="2"/>
      <c r="Z61" s="122"/>
      <c r="AA61" s="2"/>
      <c r="AB61" s="2"/>
      <c r="AC61" s="2"/>
      <c r="AD61" s="75"/>
      <c r="AE61" s="3"/>
      <c r="AF61" s="4"/>
      <c r="AG61" s="5"/>
      <c r="AH61" s="5"/>
      <c r="AI61" s="5"/>
      <c r="AJ61" s="5"/>
      <c r="AK61" s="5"/>
      <c r="AL61" s="5"/>
    </row>
    <row r="62" spans="1:38" ht="13.5" customHeight="1" thickTop="1">
      <c r="A62" s="1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15"/>
      <c r="O62" s="129"/>
      <c r="P62" s="129"/>
      <c r="Q62" s="129"/>
      <c r="R62" s="129"/>
      <c r="S62" s="129"/>
      <c r="T62" s="129"/>
      <c r="U62" s="2"/>
      <c r="V62" s="2"/>
      <c r="W62" s="2"/>
      <c r="X62" s="2"/>
      <c r="Y62" s="2"/>
      <c r="Z62" s="122"/>
      <c r="AA62" s="2"/>
      <c r="AB62" s="2"/>
      <c r="AC62" s="2"/>
      <c r="AD62" s="75"/>
      <c r="AE62" s="3"/>
      <c r="AF62" s="4"/>
      <c r="AG62" s="5"/>
      <c r="AH62" s="5"/>
      <c r="AI62" s="5"/>
      <c r="AJ62" s="5"/>
      <c r="AK62" s="5"/>
      <c r="AL62" s="5"/>
    </row>
    <row r="63" spans="1:38" ht="15.75" customHeight="1">
      <c r="A63" s="1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15"/>
      <c r="O63" s="130"/>
      <c r="P63" s="131"/>
      <c r="Q63" s="132"/>
      <c r="R63" s="109"/>
      <c r="S63" s="112"/>
      <c r="T63" s="133"/>
      <c r="U63" s="2"/>
      <c r="V63" s="2"/>
      <c r="W63" s="2"/>
      <c r="X63" s="2"/>
      <c r="Y63" s="2"/>
      <c r="Z63" s="122"/>
      <c r="AA63" s="2"/>
      <c r="AB63" s="2"/>
      <c r="AC63" s="2"/>
      <c r="AD63" s="75"/>
      <c r="AE63" s="3"/>
      <c r="AF63" s="4"/>
      <c r="AG63" s="5"/>
      <c r="AH63" s="5"/>
      <c r="AI63" s="5"/>
      <c r="AJ63" s="5"/>
      <c r="AK63" s="5"/>
      <c r="AL63" s="5"/>
    </row>
    <row r="64" spans="1:38" ht="12.75" customHeight="1">
      <c r="A64" s="1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15"/>
      <c r="O64" s="19"/>
      <c r="P64" s="19"/>
      <c r="Q64" s="19"/>
      <c r="R64" s="19"/>
      <c r="S64" s="134"/>
      <c r="T64" s="135"/>
      <c r="U64" s="2"/>
      <c r="V64" s="2"/>
      <c r="W64" s="2"/>
      <c r="X64" s="2"/>
      <c r="Y64" s="2"/>
      <c r="Z64" s="122"/>
      <c r="AA64" s="2"/>
      <c r="AB64" s="2"/>
      <c r="AC64" s="2"/>
      <c r="AD64" s="75"/>
      <c r="AE64" s="3"/>
      <c r="AF64" s="4"/>
      <c r="AG64" s="5"/>
      <c r="AH64" s="5"/>
      <c r="AI64" s="5"/>
      <c r="AJ64" s="5"/>
      <c r="AK64" s="5"/>
      <c r="AL64" s="5"/>
    </row>
    <row r="65" spans="1:38" ht="13.5" customHeight="1" thickBot="1">
      <c r="A65" s="1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15"/>
      <c r="O65" s="129"/>
      <c r="P65" s="129"/>
      <c r="Q65" s="129"/>
      <c r="R65" s="129"/>
      <c r="S65" s="129"/>
      <c r="T65" s="129"/>
      <c r="U65" s="136"/>
      <c r="V65" s="136"/>
      <c r="W65" s="136"/>
      <c r="X65" s="136"/>
      <c r="Y65" s="136"/>
      <c r="Z65" s="137"/>
      <c r="AA65" s="136"/>
      <c r="AB65" s="136"/>
      <c r="AC65" s="2"/>
      <c r="AD65" s="75"/>
      <c r="AE65" s="3"/>
      <c r="AF65" s="4"/>
      <c r="AG65" s="5"/>
      <c r="AH65" s="5"/>
      <c r="AI65" s="5"/>
      <c r="AJ65" s="5"/>
      <c r="AK65" s="5"/>
      <c r="AL65" s="5"/>
    </row>
    <row r="66" spans="1:38" ht="16.5" customHeight="1" thickTop="1" thickBot="1">
      <c r="A66" s="1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115"/>
      <c r="O66" s="138"/>
      <c r="P66" s="220" t="s">
        <v>52</v>
      </c>
      <c r="Q66" s="221"/>
      <c r="R66" s="221"/>
      <c r="S66" s="222"/>
      <c r="T66" s="2"/>
      <c r="U66" s="2"/>
      <c r="V66" s="2"/>
      <c r="W66" s="2"/>
      <c r="X66" s="2"/>
      <c r="Y66" s="2"/>
      <c r="Z66" s="122"/>
      <c r="AA66" s="2"/>
      <c r="AB66" s="2"/>
      <c r="AC66" s="2"/>
      <c r="AD66" s="75"/>
      <c r="AE66" s="3"/>
      <c r="AF66" s="4"/>
      <c r="AG66" s="5"/>
      <c r="AH66" s="5"/>
      <c r="AI66" s="5"/>
      <c r="AJ66" s="5"/>
      <c r="AK66" s="5"/>
      <c r="AL66" s="5"/>
    </row>
    <row r="67" spans="1:38" ht="16.5" customHeight="1" thickTop="1">
      <c r="A67" s="1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115"/>
      <c r="O67" s="139" t="s">
        <v>17</v>
      </c>
      <c r="P67" s="140" t="s">
        <v>18</v>
      </c>
      <c r="Q67" s="141" t="s">
        <v>19</v>
      </c>
      <c r="R67" s="142" t="s">
        <v>20</v>
      </c>
      <c r="S67" s="143" t="s">
        <v>21</v>
      </c>
      <c r="T67" s="144" t="s">
        <v>22</v>
      </c>
      <c r="U67" s="2"/>
      <c r="V67" s="2"/>
      <c r="W67" s="2"/>
      <c r="X67" s="2"/>
      <c r="Y67" s="2"/>
      <c r="Z67" s="122"/>
      <c r="AA67" s="2"/>
      <c r="AB67" s="2"/>
      <c r="AC67" s="2"/>
      <c r="AD67" s="75"/>
      <c r="AE67" s="3"/>
      <c r="AF67" s="4"/>
      <c r="AG67" s="5"/>
      <c r="AH67" s="5"/>
      <c r="AI67" s="5"/>
      <c r="AJ67" s="5"/>
      <c r="AK67" s="5"/>
      <c r="AL67" s="5"/>
    </row>
    <row r="68" spans="1:38" ht="12.75" customHeight="1">
      <c r="A68" s="1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115"/>
      <c r="O68" s="145"/>
      <c r="P68" s="146"/>
      <c r="Q68" s="146"/>
      <c r="R68" s="146"/>
      <c r="S68" s="146"/>
      <c r="T68" s="147"/>
      <c r="U68" s="2"/>
      <c r="V68" s="2"/>
      <c r="W68" s="2"/>
      <c r="X68" s="2"/>
      <c r="Y68" s="2"/>
      <c r="Z68" s="122"/>
      <c r="AA68" s="2"/>
      <c r="AB68" s="2"/>
      <c r="AC68" s="2"/>
      <c r="AD68" s="75"/>
      <c r="AE68" s="3"/>
      <c r="AF68" s="4"/>
      <c r="AG68" s="5"/>
      <c r="AH68" s="5"/>
      <c r="AI68" s="5"/>
      <c r="AJ68" s="5"/>
      <c r="AK68" s="5"/>
      <c r="AL68" s="5"/>
    </row>
    <row r="69" spans="1:38" ht="13.5" customHeight="1" thickBot="1">
      <c r="A69" s="1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115"/>
      <c r="O69" s="148">
        <f t="shared" ref="O69:T69" si="16">(Y33)</f>
        <v>0</v>
      </c>
      <c r="P69" s="149">
        <f t="shared" si="16"/>
        <v>18.02</v>
      </c>
      <c r="Q69" s="149">
        <f t="shared" si="16"/>
        <v>0</v>
      </c>
      <c r="R69" s="149">
        <f t="shared" si="16"/>
        <v>0</v>
      </c>
      <c r="S69" s="149">
        <f t="shared" si="16"/>
        <v>0</v>
      </c>
      <c r="T69" s="150">
        <f t="shared" si="16"/>
        <v>0</v>
      </c>
      <c r="U69" s="2"/>
      <c r="V69" s="2"/>
      <c r="W69" s="2"/>
      <c r="X69" s="2"/>
      <c r="Y69" s="2"/>
      <c r="Z69" s="122"/>
      <c r="AA69" s="2"/>
      <c r="AB69" s="2"/>
      <c r="AC69" s="2"/>
      <c r="AD69" s="75"/>
      <c r="AE69" s="3"/>
      <c r="AF69" s="4"/>
      <c r="AG69" s="5"/>
      <c r="AH69" s="5"/>
      <c r="AI69" s="5"/>
      <c r="AJ69" s="5"/>
      <c r="AK69" s="5"/>
      <c r="AL69" s="5"/>
    </row>
    <row r="70" spans="1:38" ht="15" customHeight="1" thickTop="1">
      <c r="A70" s="1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115"/>
      <c r="O70" s="151"/>
      <c r="P70" s="2"/>
      <c r="Q70" s="2"/>
      <c r="R70" s="2"/>
      <c r="S70" s="2"/>
      <c r="T70" s="2"/>
      <c r="U70" s="2"/>
      <c r="V70" s="2"/>
      <c r="W70" s="2"/>
      <c r="X70" s="2"/>
      <c r="Y70" s="2"/>
      <c r="Z70" s="122"/>
      <c r="AA70" s="2"/>
      <c r="AB70" s="2"/>
      <c r="AC70" s="2"/>
      <c r="AD70" s="75"/>
      <c r="AE70" s="3"/>
      <c r="AF70" s="4"/>
      <c r="AG70" s="5"/>
      <c r="AH70" s="5"/>
      <c r="AI70" s="5"/>
      <c r="AJ70" s="5"/>
      <c r="AK70" s="5"/>
      <c r="AL70" s="5"/>
    </row>
    <row r="71" spans="1:38" ht="14.25" customHeight="1">
      <c r="A71" s="1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115"/>
      <c r="O71" s="151"/>
      <c r="P71" s="2"/>
      <c r="Q71" s="2"/>
      <c r="R71" s="2"/>
      <c r="S71" s="2"/>
      <c r="T71" s="2"/>
      <c r="U71" s="2"/>
      <c r="V71" s="2"/>
      <c r="W71" s="2"/>
      <c r="X71" s="2"/>
      <c r="Y71" s="2"/>
      <c r="Z71" s="122"/>
      <c r="AA71" s="2"/>
      <c r="AB71" s="2"/>
      <c r="AC71" s="2"/>
      <c r="AD71" s="75"/>
      <c r="AE71" s="3"/>
      <c r="AF71" s="4"/>
      <c r="AG71" s="5"/>
      <c r="AH71" s="5"/>
      <c r="AI71" s="5"/>
      <c r="AJ71" s="5"/>
      <c r="AK71" s="5"/>
      <c r="AL71" s="5"/>
    </row>
    <row r="72" spans="1:38" ht="15" customHeight="1" thickBot="1">
      <c r="A72" s="1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152"/>
      <c r="O72" s="153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5"/>
      <c r="AA72" s="2"/>
      <c r="AB72" s="2"/>
      <c r="AC72" s="2"/>
      <c r="AD72" s="75"/>
      <c r="AE72" s="3"/>
      <c r="AF72" s="4"/>
      <c r="AG72" s="5"/>
      <c r="AH72" s="5"/>
      <c r="AI72" s="5"/>
      <c r="AJ72" s="5"/>
      <c r="AK72" s="5"/>
      <c r="AL72" s="5"/>
    </row>
    <row r="73" spans="1:38" ht="13.5" customHeight="1" thickTop="1">
      <c r="A73" s="1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75"/>
      <c r="AE73" s="3"/>
      <c r="AF73" s="4"/>
      <c r="AG73" s="5"/>
      <c r="AH73" s="5"/>
      <c r="AI73" s="5"/>
      <c r="AJ73" s="5"/>
      <c r="AK73" s="5"/>
      <c r="AL73" s="5"/>
    </row>
    <row r="74" spans="1:38" ht="6" customHeight="1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4"/>
      <c r="AG74" s="5"/>
      <c r="AH74" s="5"/>
      <c r="AI74" s="5"/>
      <c r="AJ74" s="5"/>
      <c r="AK74" s="5"/>
      <c r="AL74" s="5"/>
    </row>
    <row r="75" spans="1:38" ht="7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4"/>
      <c r="AG75" s="5"/>
      <c r="AH75" s="5"/>
      <c r="AI75" s="5"/>
      <c r="AJ75" s="5"/>
      <c r="AK75" s="5"/>
      <c r="AL75" s="5"/>
    </row>
    <row r="76" spans="1:38" ht="7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4"/>
      <c r="AG76" s="5"/>
      <c r="AH76" s="5"/>
      <c r="AI76" s="5"/>
      <c r="AJ76" s="5"/>
      <c r="AK76" s="5"/>
      <c r="AL76" s="5"/>
    </row>
    <row r="77" spans="1:38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5"/>
      <c r="AG77" s="5"/>
      <c r="AH77" s="5"/>
      <c r="AI77" s="5"/>
      <c r="AJ77" s="5"/>
      <c r="AK77" s="5"/>
      <c r="AL77" s="5"/>
    </row>
    <row r="78" spans="1:3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5"/>
      <c r="AG78" s="5"/>
      <c r="AH78" s="5"/>
      <c r="AI78" s="5"/>
      <c r="AJ78" s="5"/>
      <c r="AK78" s="5"/>
      <c r="AL78" s="5"/>
    </row>
    <row r="79" spans="1:38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5"/>
      <c r="M79" s="5"/>
      <c r="N79" s="5"/>
      <c r="O79" s="5"/>
      <c r="P79" s="5"/>
      <c r="Q79" s="5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5"/>
      <c r="AG79" s="5"/>
      <c r="AH79" s="5"/>
      <c r="AI79" s="5"/>
      <c r="AJ79" s="5"/>
      <c r="AK79" s="5"/>
      <c r="AL79" s="5"/>
    </row>
    <row r="80" spans="1:38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5"/>
      <c r="AG80" s="5"/>
      <c r="AH80" s="5"/>
      <c r="AI80" s="5"/>
      <c r="AJ80" s="5"/>
      <c r="AK80" s="5"/>
      <c r="AL80" s="5"/>
    </row>
    <row r="81" spans="1:38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5"/>
      <c r="AG81" s="5"/>
      <c r="AH81" s="5"/>
      <c r="AI81" s="5"/>
      <c r="AJ81" s="5"/>
      <c r="AK81" s="5"/>
      <c r="AL81" s="5"/>
    </row>
    <row r="82" spans="1:38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5"/>
      <c r="AG82" s="5"/>
      <c r="AH82" s="5"/>
      <c r="AI82" s="5"/>
      <c r="AJ82" s="5"/>
      <c r="AK82" s="5"/>
      <c r="AL82" s="5"/>
    </row>
    <row r="83" spans="1:38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5"/>
      <c r="AG83" s="5"/>
      <c r="AH83" s="5"/>
      <c r="AI83" s="5"/>
      <c r="AJ83" s="5"/>
      <c r="AK83" s="5"/>
      <c r="AL83" s="5"/>
    </row>
    <row r="84" spans="1:38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5"/>
      <c r="AG84" s="5"/>
      <c r="AH84" s="5"/>
      <c r="AI84" s="5"/>
      <c r="AJ84" s="5"/>
      <c r="AK84" s="5"/>
      <c r="AL84" s="5"/>
    </row>
    <row r="85" spans="1:38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ht="12.75" customHeight="1">
      <c r="J107" s="2"/>
      <c r="K107" s="2"/>
      <c r="L107" s="2"/>
      <c r="M107" s="2"/>
    </row>
    <row r="108" spans="1:38" ht="12.75" customHeight="1">
      <c r="J108" s="2"/>
      <c r="K108" s="2"/>
      <c r="L108" s="2"/>
      <c r="M108" s="2"/>
    </row>
    <row r="109" spans="1:38" ht="12.75" customHeight="1">
      <c r="J109" s="2"/>
      <c r="K109" s="2"/>
      <c r="L109" s="2"/>
      <c r="M109" s="2"/>
    </row>
    <row r="110" spans="1:38" ht="12.75" customHeight="1">
      <c r="J110" s="2"/>
      <c r="K110" s="2"/>
      <c r="L110" s="2"/>
      <c r="M110" s="2"/>
    </row>
    <row r="111" spans="1:38" ht="12.75" customHeight="1">
      <c r="J111" s="2"/>
      <c r="K111" s="2"/>
      <c r="L111" s="2"/>
      <c r="M111" s="2"/>
    </row>
    <row r="112" spans="1:38" ht="12.75" customHeight="1">
      <c r="J112" s="2"/>
      <c r="K112" s="2"/>
      <c r="L112" s="2"/>
      <c r="M112" s="2"/>
    </row>
    <row r="113" spans="10:13" ht="12.75" customHeight="1">
      <c r="J113" s="2"/>
      <c r="K113" s="2"/>
      <c r="L113" s="2"/>
      <c r="M113" s="2"/>
    </row>
    <row r="114" spans="10:13" ht="12.75" customHeight="1">
      <c r="J114" s="2"/>
      <c r="K114" s="2"/>
      <c r="L114" s="2"/>
      <c r="M114" s="2"/>
    </row>
    <row r="115" spans="10:13" ht="12.75" customHeight="1">
      <c r="J115" s="2"/>
      <c r="K115" s="2"/>
      <c r="L115" s="2"/>
      <c r="M115" s="2"/>
    </row>
    <row r="116" spans="10:13" ht="12.75" customHeight="1">
      <c r="J116" s="2"/>
      <c r="K116" s="2"/>
      <c r="L116" s="2"/>
      <c r="M116" s="2"/>
    </row>
    <row r="117" spans="10:13" ht="12.75" customHeight="1">
      <c r="J117" s="2"/>
      <c r="K117" s="2"/>
      <c r="L117" s="2"/>
      <c r="M117" s="2"/>
    </row>
  </sheetData>
  <mergeCells count="69">
    <mergeCell ref="A1:X1"/>
    <mergeCell ref="G2:H2"/>
    <mergeCell ref="I2:J2"/>
    <mergeCell ref="E3:F5"/>
    <mergeCell ref="G3:H3"/>
    <mergeCell ref="I3:J3"/>
    <mergeCell ref="C4:C7"/>
    <mergeCell ref="G4:H4"/>
    <mergeCell ref="I4:J4"/>
    <mergeCell ref="G5:H5"/>
    <mergeCell ref="I5:J5"/>
    <mergeCell ref="E6:F7"/>
    <mergeCell ref="G6:H6"/>
    <mergeCell ref="I6:J6"/>
    <mergeCell ref="G7:H7"/>
    <mergeCell ref="I7:J7"/>
    <mergeCell ref="G8:J8"/>
    <mergeCell ref="A13:AD13"/>
    <mergeCell ref="C14:AD14"/>
    <mergeCell ref="C15:O15"/>
    <mergeCell ref="Q15:V15"/>
    <mergeCell ref="W15:AD15"/>
    <mergeCell ref="I9:J9"/>
    <mergeCell ref="E9:H9"/>
    <mergeCell ref="E10:H10"/>
    <mergeCell ref="I10:J10"/>
    <mergeCell ref="G11:J11"/>
    <mergeCell ref="AE15:AE33"/>
    <mergeCell ref="C16:C17"/>
    <mergeCell ref="D16:D17"/>
    <mergeCell ref="E16:M16"/>
    <mergeCell ref="O16:O17"/>
    <mergeCell ref="Q16:AD16"/>
    <mergeCell ref="E30:F30"/>
    <mergeCell ref="N30:O30"/>
    <mergeCell ref="C31:I32"/>
    <mergeCell ref="U31:Y31"/>
    <mergeCell ref="E39:I39"/>
    <mergeCell ref="E33:I33"/>
    <mergeCell ref="E34:I34"/>
    <mergeCell ref="E35:I35"/>
    <mergeCell ref="E36:I36"/>
    <mergeCell ref="S36:T36"/>
    <mergeCell ref="W36:X36"/>
    <mergeCell ref="E37:I37"/>
    <mergeCell ref="O37:P37"/>
    <mergeCell ref="E38:I38"/>
    <mergeCell ref="L36:N36"/>
    <mergeCell ref="O36:P36"/>
    <mergeCell ref="E40:I40"/>
    <mergeCell ref="S40:U40"/>
    <mergeCell ref="E41:I41"/>
    <mergeCell ref="E42:F42"/>
    <mergeCell ref="U42:Y42"/>
    <mergeCell ref="E43:F43"/>
    <mergeCell ref="N43:O43"/>
    <mergeCell ref="R43:S43"/>
    <mergeCell ref="U43:V43"/>
    <mergeCell ref="E44:F44"/>
    <mergeCell ref="N44:O44"/>
    <mergeCell ref="P56:R56"/>
    <mergeCell ref="P58:S58"/>
    <mergeCell ref="P66:S66"/>
    <mergeCell ref="E45:F45"/>
    <mergeCell ref="N45:O45"/>
    <mergeCell ref="E46:F46"/>
    <mergeCell ref="N47:O47"/>
    <mergeCell ref="O50:P50"/>
    <mergeCell ref="S54:U54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N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10 - 35 dias</vt:lpstr>
    </vt:vector>
  </TitlesOfParts>
  <Company>Marcelo Kunihira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Kunihira</dc:creator>
  <cp:lastModifiedBy>User</cp:lastModifiedBy>
  <cp:lastPrinted>2003-08-01T21:35:07Z</cp:lastPrinted>
  <dcterms:created xsi:type="dcterms:W3CDTF">2003-07-15T02:31:50Z</dcterms:created>
  <dcterms:modified xsi:type="dcterms:W3CDTF">2024-04-11T12:55:19Z</dcterms:modified>
</cp:coreProperties>
</file>