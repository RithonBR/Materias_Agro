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1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embeddings/oleObject9.bin" ContentType="application/vnd.openxmlformats-officedocument.oleObject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Plan1" sheetId="1" r:id="rId1"/>
    <sheet name="Plan2" sheetId="2" r:id="rId2"/>
    <sheet name="Plan3" sheetId="3" r:id="rId3"/>
  </sheets>
  <calcPr calcId="125725"/>
</workbook>
</file>

<file path=xl/calcChain.xml><?xml version="1.0" encoding="utf-8"?>
<calcChain xmlns="http://schemas.openxmlformats.org/spreadsheetml/2006/main">
  <c r="I68" i="1"/>
  <c r="I63"/>
  <c r="F58"/>
  <c r="F57"/>
  <c r="F56"/>
  <c r="B56"/>
  <c r="C42"/>
  <c r="C41"/>
  <c r="C40"/>
  <c r="J36"/>
  <c r="F36"/>
  <c r="H36" s="1"/>
  <c r="K36" s="1"/>
  <c r="J35"/>
  <c r="H35"/>
  <c r="K35" s="1"/>
  <c r="F35"/>
  <c r="J34"/>
  <c r="H34"/>
  <c r="K34" s="1"/>
  <c r="F34"/>
  <c r="J33"/>
  <c r="H33"/>
  <c r="K33" s="1"/>
  <c r="F33"/>
  <c r="J32"/>
  <c r="H32"/>
  <c r="K32" s="1"/>
  <c r="F32"/>
  <c r="J31"/>
  <c r="H31"/>
  <c r="K31" s="1"/>
  <c r="F31"/>
  <c r="J30"/>
  <c r="H30"/>
  <c r="F30"/>
  <c r="J29"/>
  <c r="H29"/>
  <c r="K29" s="1"/>
  <c r="F29"/>
  <c r="J28"/>
  <c r="H28"/>
  <c r="F28"/>
  <c r="J27"/>
  <c r="H27"/>
  <c r="F27"/>
  <c r="N22"/>
  <c r="N21"/>
  <c r="P19"/>
  <c r="P18"/>
  <c r="P17"/>
  <c r="K12"/>
  <c r="K13"/>
  <c r="K14"/>
  <c r="K15"/>
  <c r="K16"/>
  <c r="K17"/>
  <c r="K18"/>
  <c r="K19"/>
  <c r="K20"/>
  <c r="K11"/>
  <c r="J20"/>
  <c r="J12"/>
  <c r="J13"/>
  <c r="J14"/>
  <c r="J15"/>
  <c r="J16"/>
  <c r="J17"/>
  <c r="J18"/>
  <c r="J19"/>
  <c r="J11"/>
  <c r="H12"/>
  <c r="H13"/>
  <c r="H14"/>
  <c r="H15"/>
  <c r="H16"/>
  <c r="H17"/>
  <c r="H18"/>
  <c r="H19"/>
  <c r="H20"/>
  <c r="H11"/>
  <c r="F20"/>
  <c r="F12"/>
  <c r="F13"/>
  <c r="F14"/>
  <c r="F15"/>
  <c r="F16"/>
  <c r="F17"/>
  <c r="F18"/>
  <c r="F19"/>
  <c r="F11"/>
  <c r="P13"/>
</calcChain>
</file>

<file path=xl/sharedStrings.xml><?xml version="1.0" encoding="utf-8"?>
<sst xmlns="http://schemas.openxmlformats.org/spreadsheetml/2006/main" count="85" uniqueCount="41">
  <si>
    <t>FAZENDA SANTA LUZIA</t>
  </si>
  <si>
    <t xml:space="preserve">ÁREA (ha): 4.283,5505 </t>
  </si>
  <si>
    <t>ANCIANIDADE: 1</t>
  </si>
  <si>
    <t>1 - Calcular o intervalo do fator até 50%, definindo os limites superior e inferior. Dados fora dos limites serão eliminados.</t>
  </si>
  <si>
    <t>Nº</t>
  </si>
  <si>
    <t>Fator de elasticidade</t>
  </si>
  <si>
    <t>VTI (R$)</t>
  </si>
  <si>
    <t>Tipo</t>
  </si>
  <si>
    <t>VTN/ha (R$)</t>
  </si>
  <si>
    <t>Nota Agronômica</t>
  </si>
  <si>
    <t>Valor Bnfeitorias (R$)</t>
  </si>
  <si>
    <t>Fator</t>
  </si>
  <si>
    <t>VTN/ha (R$) Homogeneizado</t>
  </si>
  <si>
    <t>Área (ha)</t>
  </si>
  <si>
    <t>OF</t>
  </si>
  <si>
    <t>NR</t>
  </si>
  <si>
    <t xml:space="preserve">NOTA AGRONÔMICA = </t>
  </si>
  <si>
    <t>A dedução do fator vem de uma regra de 3:</t>
  </si>
  <si>
    <t>Exemplo para o VTN/ha (R$) Homogeneizado da 2ª amostra:</t>
  </si>
  <si>
    <t>X</t>
  </si>
  <si>
    <t>X=</t>
  </si>
  <si>
    <t>PARÂMETROS ESTATÍSTICOS APÓS HOMOGENEIZAÇÃO</t>
  </si>
  <si>
    <t>LIMITES PARA EXPURGO</t>
  </si>
  <si>
    <t>MÉDIA HOMOGENEIZADA</t>
  </si>
  <si>
    <t xml:space="preserve">DESVIO PADRÃO (S) </t>
  </si>
  <si>
    <t>COEFICIENTE DE VARIAÇÃO (%)</t>
  </si>
  <si>
    <t>Também se utiliza + ou - 30% da média</t>
  </si>
  <si>
    <t>12,44 % de CV é uma dispersão pequena, pode ser considerada uma boa amostra (INCRA usa até 20%). O ideal é abaixo de 10% (amostra ótima).</t>
  </si>
  <si>
    <t>Amostra ótima, não precisa sanear de novo.</t>
  </si>
  <si>
    <t>INTERVALO DE CONFIÂNÇA (80%). VER MANUAL DO INCRA PÁGINA 72 E 73)</t>
  </si>
  <si>
    <t>Valor t de Student será</t>
  </si>
  <si>
    <t>RAIZ N-1 (6)</t>
  </si>
  <si>
    <t>Limite inferior=</t>
  </si>
  <si>
    <t>Limite superior=</t>
  </si>
  <si>
    <t>Campo de arbítrio</t>
  </si>
  <si>
    <t>Média=</t>
  </si>
  <si>
    <t>% variação em relação à média=</t>
  </si>
  <si>
    <t>x=</t>
  </si>
  <si>
    <t>(diferença de 4%)</t>
  </si>
  <si>
    <t>**</t>
  </si>
  <si>
    <t>** Dados obtidos da pesquisa de mercado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</si>
</sst>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409575</xdr:colOff>
      <xdr:row>5</xdr:row>
      <xdr:rowOff>19050</xdr:rowOff>
    </xdr:from>
    <xdr:ext cx="2270430" cy="264560"/>
    <xdr:sp macro="" textlink="">
      <xdr:nvSpPr>
        <xdr:cNvPr id="2" name="CaixaDeTexto 1"/>
        <xdr:cNvSpPr txBox="1"/>
      </xdr:nvSpPr>
      <xdr:spPr>
        <a:xfrm>
          <a:off x="8201025" y="971550"/>
          <a:ext cx="2270430" cy="264560"/>
        </a:xfrm>
        <a:prstGeom prst="rect">
          <a:avLst/>
        </a:prstGeom>
        <a:solidFill>
          <a:srgbClr val="FFFF00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pt-BR" sz="1100"/>
            <a:t>NA Fazenda Santa</a:t>
          </a:r>
          <a:r>
            <a:rPr lang="pt-BR" sz="1100" baseline="0"/>
            <a:t> Luzia/NA amostra</a:t>
          </a:r>
          <a:endParaRPr lang="pt-BR" sz="1100"/>
        </a:p>
      </xdr:txBody>
    </xdr:sp>
    <xdr:clientData/>
  </xdr:oneCellAnchor>
  <xdr:twoCellAnchor>
    <xdr:from>
      <xdr:col>9</xdr:col>
      <xdr:colOff>200025</xdr:colOff>
      <xdr:row>6</xdr:row>
      <xdr:rowOff>133350</xdr:rowOff>
    </xdr:from>
    <xdr:to>
      <xdr:col>10</xdr:col>
      <xdr:colOff>114300</xdr:colOff>
      <xdr:row>9</xdr:row>
      <xdr:rowOff>9525</xdr:rowOff>
    </xdr:to>
    <xdr:cxnSp macro="">
      <xdr:nvCxnSpPr>
        <xdr:cNvPr id="4" name="Conector de seta reta 3"/>
        <xdr:cNvCxnSpPr/>
      </xdr:nvCxnSpPr>
      <xdr:spPr>
        <a:xfrm flipV="1">
          <a:off x="7991475" y="1276350"/>
          <a:ext cx="523875" cy="4476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1784350</xdr:colOff>
      <xdr:row>8</xdr:row>
      <xdr:rowOff>120650</xdr:rowOff>
    </xdr:from>
    <xdr:to>
      <xdr:col>11</xdr:col>
      <xdr:colOff>571500</xdr:colOff>
      <xdr:row>9</xdr:row>
      <xdr:rowOff>168276</xdr:rowOff>
    </xdr:to>
    <xdr:cxnSp macro="">
      <xdr:nvCxnSpPr>
        <xdr:cNvPr id="5" name="Conector de seta reta 4"/>
        <xdr:cNvCxnSpPr/>
      </xdr:nvCxnSpPr>
      <xdr:spPr>
        <a:xfrm flipV="1">
          <a:off x="10934700" y="1644650"/>
          <a:ext cx="577850" cy="23812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285750</xdr:colOff>
      <xdr:row>6</xdr:row>
      <xdr:rowOff>184150</xdr:rowOff>
    </xdr:from>
    <xdr:ext cx="1048749" cy="264560"/>
    <xdr:sp macro="" textlink="">
      <xdr:nvSpPr>
        <xdr:cNvPr id="7" name="CaixaDeTexto 6"/>
        <xdr:cNvSpPr txBox="1"/>
      </xdr:nvSpPr>
      <xdr:spPr>
        <a:xfrm>
          <a:off x="11226800" y="1327150"/>
          <a:ext cx="1048749" cy="264560"/>
        </a:xfrm>
        <a:prstGeom prst="rect">
          <a:avLst/>
        </a:prstGeom>
        <a:solidFill>
          <a:srgbClr val="FFFF00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pt-BR" sz="1100"/>
            <a:t>VTN/ha</a:t>
          </a:r>
          <a:r>
            <a:rPr lang="pt-BR" sz="1100" baseline="0"/>
            <a:t> x Fator</a:t>
          </a:r>
          <a:endParaRPr lang="pt-BR" sz="1100"/>
        </a:p>
      </xdr:txBody>
    </xdr:sp>
    <xdr:clientData/>
  </xdr:oneCellAnchor>
  <xdr:twoCellAnchor>
    <xdr:from>
      <xdr:col>13</xdr:col>
      <xdr:colOff>115299</xdr:colOff>
      <xdr:row>7</xdr:row>
      <xdr:rowOff>125930</xdr:rowOff>
    </xdr:from>
    <xdr:to>
      <xdr:col>13</xdr:col>
      <xdr:colOff>558800</xdr:colOff>
      <xdr:row>7</xdr:row>
      <xdr:rowOff>133350</xdr:rowOff>
    </xdr:to>
    <xdr:cxnSp macro="">
      <xdr:nvCxnSpPr>
        <xdr:cNvPr id="9" name="Conector de seta reta 8"/>
        <xdr:cNvCxnSpPr>
          <a:stCxn id="7" idx="3"/>
        </xdr:cNvCxnSpPr>
      </xdr:nvCxnSpPr>
      <xdr:spPr>
        <a:xfrm>
          <a:off x="12275549" y="1459430"/>
          <a:ext cx="443501" cy="74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63500</xdr:colOff>
      <xdr:row>9</xdr:row>
      <xdr:rowOff>101600</xdr:rowOff>
    </xdr:from>
    <xdr:to>
      <xdr:col>15</xdr:col>
      <xdr:colOff>507001</xdr:colOff>
      <xdr:row>9</xdr:row>
      <xdr:rowOff>109020</xdr:rowOff>
    </xdr:to>
    <xdr:cxnSp macro="">
      <xdr:nvCxnSpPr>
        <xdr:cNvPr id="12" name="Conector de seta reta 11"/>
        <xdr:cNvCxnSpPr/>
      </xdr:nvCxnSpPr>
      <xdr:spPr>
        <a:xfrm>
          <a:off x="13442950" y="1816100"/>
          <a:ext cx="443501" cy="74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82550</xdr:colOff>
      <xdr:row>10</xdr:row>
      <xdr:rowOff>114300</xdr:rowOff>
    </xdr:from>
    <xdr:to>
      <xdr:col>15</xdr:col>
      <xdr:colOff>526051</xdr:colOff>
      <xdr:row>10</xdr:row>
      <xdr:rowOff>121720</xdr:rowOff>
    </xdr:to>
    <xdr:cxnSp macro="">
      <xdr:nvCxnSpPr>
        <xdr:cNvPr id="13" name="Conector de seta reta 12"/>
        <xdr:cNvCxnSpPr/>
      </xdr:nvCxnSpPr>
      <xdr:spPr>
        <a:xfrm>
          <a:off x="13462000" y="2019300"/>
          <a:ext cx="443501" cy="742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17</xdr:row>
      <xdr:rowOff>104775</xdr:rowOff>
    </xdr:from>
    <xdr:to>
      <xdr:col>17</xdr:col>
      <xdr:colOff>238125</xdr:colOff>
      <xdr:row>17</xdr:row>
      <xdr:rowOff>104775</xdr:rowOff>
    </xdr:to>
    <xdr:cxnSp macro="">
      <xdr:nvCxnSpPr>
        <xdr:cNvPr id="14" name="Conector de seta reta 13"/>
        <xdr:cNvCxnSpPr/>
      </xdr:nvCxnSpPr>
      <xdr:spPr>
        <a:xfrm>
          <a:off x="14887575" y="3343275"/>
          <a:ext cx="58102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400050</xdr:colOff>
      <xdr:row>17</xdr:row>
      <xdr:rowOff>114300</xdr:rowOff>
    </xdr:from>
    <xdr:to>
      <xdr:col>20</xdr:col>
      <xdr:colOff>371475</xdr:colOff>
      <xdr:row>17</xdr:row>
      <xdr:rowOff>114300</xdr:rowOff>
    </xdr:to>
    <xdr:cxnSp macro="">
      <xdr:nvCxnSpPr>
        <xdr:cNvPr id="16" name="Conector de seta reta 15"/>
        <xdr:cNvCxnSpPr/>
      </xdr:nvCxnSpPr>
      <xdr:spPr>
        <a:xfrm>
          <a:off x="16849725" y="3352800"/>
          <a:ext cx="58102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204787</xdr:colOff>
      <xdr:row>16</xdr:row>
      <xdr:rowOff>76200</xdr:rowOff>
    </xdr:from>
    <xdr:to>
      <xdr:col>22</xdr:col>
      <xdr:colOff>176212</xdr:colOff>
      <xdr:row>16</xdr:row>
      <xdr:rowOff>76200</xdr:rowOff>
    </xdr:to>
    <xdr:cxnSp macro="">
      <xdr:nvCxnSpPr>
        <xdr:cNvPr id="17" name="Conector de seta reta 16"/>
        <xdr:cNvCxnSpPr/>
      </xdr:nvCxnSpPr>
      <xdr:spPr>
        <a:xfrm>
          <a:off x="17873662" y="3124200"/>
          <a:ext cx="58102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18</xdr:row>
      <xdr:rowOff>171450</xdr:rowOff>
    </xdr:from>
    <xdr:to>
      <xdr:col>17</xdr:col>
      <xdr:colOff>219075</xdr:colOff>
      <xdr:row>21</xdr:row>
      <xdr:rowOff>85725</xdr:rowOff>
    </xdr:to>
    <xdr:cxnSp macro="">
      <xdr:nvCxnSpPr>
        <xdr:cNvPr id="18" name="Conector de seta reta 17"/>
        <xdr:cNvCxnSpPr/>
      </xdr:nvCxnSpPr>
      <xdr:spPr>
        <a:xfrm>
          <a:off x="14706600" y="3600450"/>
          <a:ext cx="742950" cy="4857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20</xdr:row>
      <xdr:rowOff>6350</xdr:rowOff>
    </xdr:from>
    <xdr:to>
      <xdr:col>14</xdr:col>
      <xdr:colOff>152400</xdr:colOff>
      <xdr:row>23</xdr:row>
      <xdr:rowOff>127000</xdr:rowOff>
    </xdr:to>
    <xdr:cxnSp macro="">
      <xdr:nvCxnSpPr>
        <xdr:cNvPr id="21" name="Conector de seta reta 20"/>
        <xdr:cNvCxnSpPr/>
      </xdr:nvCxnSpPr>
      <xdr:spPr>
        <a:xfrm>
          <a:off x="12903200" y="3816350"/>
          <a:ext cx="19050" cy="6921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41</xdr:row>
      <xdr:rowOff>104775</xdr:rowOff>
    </xdr:from>
    <xdr:to>
      <xdr:col>4</xdr:col>
      <xdr:colOff>9525</xdr:colOff>
      <xdr:row>41</xdr:row>
      <xdr:rowOff>104775</xdr:rowOff>
    </xdr:to>
    <xdr:cxnSp macro="">
      <xdr:nvCxnSpPr>
        <xdr:cNvPr id="24" name="Conector de seta reta 23"/>
        <xdr:cNvCxnSpPr/>
      </xdr:nvCxnSpPr>
      <xdr:spPr>
        <a:xfrm>
          <a:off x="2724150" y="7915275"/>
          <a:ext cx="581025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148166</xdr:colOff>
      <xdr:row>56</xdr:row>
      <xdr:rowOff>0</xdr:rowOff>
    </xdr:from>
    <xdr:to>
      <xdr:col>6</xdr:col>
      <xdr:colOff>1280583</xdr:colOff>
      <xdr:row>56</xdr:row>
      <xdr:rowOff>0</xdr:rowOff>
    </xdr:to>
    <xdr:cxnSp macro="">
      <xdr:nvCxnSpPr>
        <xdr:cNvPr id="25" name="Conector de seta reta 24"/>
        <xdr:cNvCxnSpPr/>
      </xdr:nvCxnSpPr>
      <xdr:spPr>
        <a:xfrm>
          <a:off x="5577416" y="10668000"/>
          <a:ext cx="1132417" cy="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59</xdr:row>
      <xdr:rowOff>105833</xdr:rowOff>
    </xdr:from>
    <xdr:to>
      <xdr:col>8</xdr:col>
      <xdr:colOff>497416</xdr:colOff>
      <xdr:row>59</xdr:row>
      <xdr:rowOff>105834</xdr:rowOff>
    </xdr:to>
    <xdr:cxnSp macro="">
      <xdr:nvCxnSpPr>
        <xdr:cNvPr id="28" name="Conector de seta reta 27"/>
        <xdr:cNvCxnSpPr/>
      </xdr:nvCxnSpPr>
      <xdr:spPr>
        <a:xfrm flipV="1">
          <a:off x="6942667" y="11345333"/>
          <a:ext cx="1259416" cy="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158750</xdr:colOff>
      <xdr:row>64</xdr:row>
      <xdr:rowOff>105833</xdr:rowOff>
    </xdr:from>
    <xdr:to>
      <xdr:col>8</xdr:col>
      <xdr:colOff>518583</xdr:colOff>
      <xdr:row>64</xdr:row>
      <xdr:rowOff>105835</xdr:rowOff>
    </xdr:to>
    <xdr:cxnSp macro="">
      <xdr:nvCxnSpPr>
        <xdr:cNvPr id="30" name="Conector de seta reta 29"/>
        <xdr:cNvCxnSpPr/>
      </xdr:nvCxnSpPr>
      <xdr:spPr>
        <a:xfrm flipV="1">
          <a:off x="6942667" y="12297833"/>
          <a:ext cx="1280583" cy="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201084</xdr:colOff>
      <xdr:row>60</xdr:row>
      <xdr:rowOff>95250</xdr:rowOff>
    </xdr:from>
    <xdr:to>
      <xdr:col>8</xdr:col>
      <xdr:colOff>476250</xdr:colOff>
      <xdr:row>60</xdr:row>
      <xdr:rowOff>105833</xdr:rowOff>
    </xdr:to>
    <xdr:cxnSp macro="">
      <xdr:nvCxnSpPr>
        <xdr:cNvPr id="33" name="Conector de seta reta 32"/>
        <xdr:cNvCxnSpPr/>
      </xdr:nvCxnSpPr>
      <xdr:spPr>
        <a:xfrm>
          <a:off x="6985001" y="11525250"/>
          <a:ext cx="1195916" cy="1058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179917</xdr:colOff>
      <xdr:row>65</xdr:row>
      <xdr:rowOff>95250</xdr:rowOff>
    </xdr:from>
    <xdr:to>
      <xdr:col>8</xdr:col>
      <xdr:colOff>539750</xdr:colOff>
      <xdr:row>65</xdr:row>
      <xdr:rowOff>95252</xdr:rowOff>
    </xdr:to>
    <xdr:cxnSp macro="">
      <xdr:nvCxnSpPr>
        <xdr:cNvPr id="37" name="Conector de seta reta 36"/>
        <xdr:cNvCxnSpPr/>
      </xdr:nvCxnSpPr>
      <xdr:spPr>
        <a:xfrm flipV="1">
          <a:off x="6963834" y="12477750"/>
          <a:ext cx="1280583" cy="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867834</xdr:colOff>
      <xdr:row>60</xdr:row>
      <xdr:rowOff>116417</xdr:rowOff>
    </xdr:from>
    <xdr:to>
      <xdr:col>4</xdr:col>
      <xdr:colOff>878417</xdr:colOff>
      <xdr:row>64</xdr:row>
      <xdr:rowOff>74083</xdr:rowOff>
    </xdr:to>
    <xdr:cxnSp macro="">
      <xdr:nvCxnSpPr>
        <xdr:cNvPr id="38" name="Conector de seta reta 37"/>
        <xdr:cNvCxnSpPr/>
      </xdr:nvCxnSpPr>
      <xdr:spPr>
        <a:xfrm>
          <a:off x="4169834" y="11546417"/>
          <a:ext cx="10583" cy="71966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52918</xdr:colOff>
      <xdr:row>64</xdr:row>
      <xdr:rowOff>158749</xdr:rowOff>
    </xdr:from>
    <xdr:ext cx="1809750" cy="1164167"/>
    <xdr:sp macro="" textlink="">
      <xdr:nvSpPr>
        <xdr:cNvPr id="42" name="CaixaDeTexto 41"/>
        <xdr:cNvSpPr txBox="1"/>
      </xdr:nvSpPr>
      <xdr:spPr>
        <a:xfrm>
          <a:off x="3354918" y="12350749"/>
          <a:ext cx="1809750" cy="1164167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pt-BR" sz="1100"/>
            <a:t>Caso</a:t>
          </a:r>
          <a:r>
            <a:rPr lang="pt-BR" sz="1100" baseline="0"/>
            <a:t> a variação em torno do valor médio calculado superar 10%, limitar-se-á a este percentual (limite do campo de arbítrio).</a:t>
          </a:r>
          <a:endParaRPr lang="pt-B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13" Type="http://schemas.openxmlformats.org/officeDocument/2006/relationships/oleObject" Target="../embeddings/oleObject10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12" Type="http://schemas.openxmlformats.org/officeDocument/2006/relationships/oleObject" Target="../embeddings/oleObject9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8.bin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12.bin"/><Relationship Id="rId10" Type="http://schemas.openxmlformats.org/officeDocument/2006/relationships/oleObject" Target="../embeddings/oleObject7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6.bin"/><Relationship Id="rId14" Type="http://schemas.openxmlformats.org/officeDocument/2006/relationships/oleObject" Target="../embeddings/oleObject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topLeftCell="A40" zoomScale="90" zoomScaleNormal="90" workbookViewId="0">
      <selection activeCell="F56" sqref="F56"/>
    </sheetView>
  </sheetViews>
  <sheetFormatPr defaultRowHeight="15"/>
  <cols>
    <col min="1" max="1" width="21.7109375" customWidth="1"/>
    <col min="2" max="3" width="9" customWidth="1"/>
    <col min="4" max="4" width="9.7109375" customWidth="1"/>
    <col min="5" max="5" width="19" customWidth="1"/>
    <col min="6" max="6" width="12.85546875" customWidth="1"/>
    <col min="7" max="7" width="20.28515625" customWidth="1"/>
    <col min="8" max="8" width="13.85546875" customWidth="1"/>
    <col min="9" max="9" width="16.7109375" customWidth="1"/>
    <col min="11" max="11" width="26.85546875" customWidth="1"/>
    <col min="13" max="13" width="9.140625" customWidth="1"/>
    <col min="15" max="15" width="11.42578125" customWidth="1"/>
    <col min="16" max="16" width="16.5703125" customWidth="1"/>
    <col min="23" max="23" width="10.5703125" customWidth="1"/>
    <col min="24" max="24" width="12.140625" customWidth="1"/>
  </cols>
  <sheetData>
    <row r="1" spans="1:17">
      <c r="A1" s="2" t="s">
        <v>0</v>
      </c>
    </row>
    <row r="3" spans="1:17">
      <c r="A3" s="3" t="s">
        <v>1</v>
      </c>
    </row>
    <row r="4" spans="1:17">
      <c r="A4" s="3" t="s">
        <v>16</v>
      </c>
      <c r="B4">
        <v>0.57735899999999996</v>
      </c>
    </row>
    <row r="5" spans="1:17">
      <c r="A5" s="3" t="s">
        <v>2</v>
      </c>
    </row>
    <row r="7" spans="1:17">
      <c r="A7" t="s">
        <v>3</v>
      </c>
    </row>
    <row r="8" spans="1:17">
      <c r="B8" t="s">
        <v>40</v>
      </c>
      <c r="O8" t="s">
        <v>17</v>
      </c>
    </row>
    <row r="9" spans="1:17">
      <c r="B9" t="s">
        <v>39</v>
      </c>
      <c r="C9" t="s">
        <v>39</v>
      </c>
      <c r="D9" t="s">
        <v>39</v>
      </c>
      <c r="E9" t="s">
        <v>39</v>
      </c>
      <c r="G9" t="s">
        <v>39</v>
      </c>
      <c r="I9" t="s">
        <v>39</v>
      </c>
      <c r="O9" t="s">
        <v>18</v>
      </c>
    </row>
    <row r="10" spans="1:17" s="3" customFormat="1">
      <c r="A10" s="7" t="s">
        <v>4</v>
      </c>
      <c r="B10" s="7" t="s">
        <v>13</v>
      </c>
      <c r="C10" s="7" t="s">
        <v>7</v>
      </c>
      <c r="D10" s="8" t="s">
        <v>6</v>
      </c>
      <c r="E10" s="7" t="s">
        <v>5</v>
      </c>
      <c r="F10" s="7" t="s">
        <v>6</v>
      </c>
      <c r="G10" s="7" t="s">
        <v>10</v>
      </c>
      <c r="H10" s="7" t="s">
        <v>8</v>
      </c>
      <c r="I10" s="7" t="s">
        <v>9</v>
      </c>
      <c r="J10" s="7" t="s">
        <v>11</v>
      </c>
      <c r="K10" s="7" t="s">
        <v>12</v>
      </c>
      <c r="O10" s="10">
        <v>0.57330000000000003</v>
      </c>
      <c r="Q10" s="10">
        <v>8677.69</v>
      </c>
    </row>
    <row r="11" spans="1:17">
      <c r="A11" s="5">
        <v>1</v>
      </c>
      <c r="B11" s="5">
        <v>290.39999999999998</v>
      </c>
      <c r="C11" s="5" t="s">
        <v>14</v>
      </c>
      <c r="D11" s="6">
        <v>2850000</v>
      </c>
      <c r="E11" s="9">
        <v>0.9</v>
      </c>
      <c r="F11" s="9">
        <f>D11*E11</f>
        <v>2565000</v>
      </c>
      <c r="G11" s="5">
        <v>40000</v>
      </c>
      <c r="H11" s="13">
        <f>(F11-G11)/B11</f>
        <v>8694.9035812672191</v>
      </c>
      <c r="I11" s="5">
        <v>0.56059999999999999</v>
      </c>
      <c r="J11" s="9">
        <f>$B$4/I11</f>
        <v>1.0298947556189797</v>
      </c>
      <c r="K11" s="13">
        <f>H11*J11</f>
        <v>8954.8355989597949</v>
      </c>
      <c r="O11">
        <v>0.57735899999999996</v>
      </c>
      <c r="Q11" s="4" t="s">
        <v>19</v>
      </c>
    </row>
    <row r="12" spans="1:17">
      <c r="A12" s="5">
        <v>2</v>
      </c>
      <c r="B12" s="5">
        <v>532.4</v>
      </c>
      <c r="C12" s="5" t="s">
        <v>14</v>
      </c>
      <c r="D12" s="6">
        <v>6600000</v>
      </c>
      <c r="E12" s="9">
        <v>0.9</v>
      </c>
      <c r="F12" s="9">
        <f t="shared" ref="F12:F19" si="0">D12*E12</f>
        <v>5940000</v>
      </c>
      <c r="G12" s="5">
        <v>1320000</v>
      </c>
      <c r="H12" s="13">
        <f t="shared" ref="H12:H20" si="1">(F12-G12)/B12</f>
        <v>8677.6859504132244</v>
      </c>
      <c r="I12" s="5">
        <v>0.57330000000000003</v>
      </c>
      <c r="J12" s="9">
        <f t="shared" ref="J12:J19" si="2">$B$4/I12</f>
        <v>1.0070800627943484</v>
      </c>
      <c r="K12" s="13">
        <f t="shared" ref="K12:K20" si="3">H12*J12</f>
        <v>8739.1245118517854</v>
      </c>
    </row>
    <row r="13" spans="1:17">
      <c r="A13" s="5">
        <v>3</v>
      </c>
      <c r="B13" s="5">
        <v>193.8</v>
      </c>
      <c r="C13" s="5" t="s">
        <v>15</v>
      </c>
      <c r="D13" s="6">
        <v>2000000</v>
      </c>
      <c r="E13" s="9">
        <v>1</v>
      </c>
      <c r="F13" s="9">
        <f t="shared" si="0"/>
        <v>2000000</v>
      </c>
      <c r="G13" s="5">
        <v>267000</v>
      </c>
      <c r="H13" s="13">
        <f t="shared" si="1"/>
        <v>8942.2084623323008</v>
      </c>
      <c r="I13" s="5">
        <v>0.44890000000000002</v>
      </c>
      <c r="J13" s="9">
        <f t="shared" si="2"/>
        <v>1.2861639563377143</v>
      </c>
      <c r="K13" s="13">
        <f t="shared" si="3"/>
        <v>11501.1462143099</v>
      </c>
      <c r="O13" s="11" t="s">
        <v>20</v>
      </c>
      <c r="P13" s="12">
        <f>(O11*Q10)/O10</f>
        <v>8739.128590109889</v>
      </c>
    </row>
    <row r="14" spans="1:17">
      <c r="A14" s="5">
        <v>4</v>
      </c>
      <c r="B14" s="5">
        <v>1555.8</v>
      </c>
      <c r="C14" s="5" t="s">
        <v>15</v>
      </c>
      <c r="D14" s="6">
        <v>16000000</v>
      </c>
      <c r="E14" s="9">
        <v>1</v>
      </c>
      <c r="F14" s="9">
        <f t="shared" si="0"/>
        <v>16000000</v>
      </c>
      <c r="G14" s="5">
        <v>2920000</v>
      </c>
      <c r="H14" s="13">
        <f t="shared" si="1"/>
        <v>8407.2502892402626</v>
      </c>
      <c r="I14" s="5">
        <v>0.58179999999999998</v>
      </c>
      <c r="J14" s="9">
        <f t="shared" si="2"/>
        <v>0.99236679271227224</v>
      </c>
      <c r="K14" s="13">
        <f t="shared" si="3"/>
        <v>8343.0760050626832</v>
      </c>
    </row>
    <row r="15" spans="1:17">
      <c r="A15" s="5">
        <v>5</v>
      </c>
      <c r="B15" s="5">
        <v>3049.2</v>
      </c>
      <c r="C15" s="5" t="s">
        <v>15</v>
      </c>
      <c r="D15" s="6">
        <v>31500000</v>
      </c>
      <c r="E15" s="9">
        <v>1</v>
      </c>
      <c r="F15" s="9">
        <f t="shared" si="0"/>
        <v>31500000</v>
      </c>
      <c r="G15" s="5">
        <v>4410000</v>
      </c>
      <c r="H15" s="13">
        <f t="shared" si="1"/>
        <v>8884.2975206611573</v>
      </c>
      <c r="I15" s="5">
        <v>0.54359999999999997</v>
      </c>
      <c r="J15" s="9">
        <f t="shared" si="2"/>
        <v>1.0621026490066225</v>
      </c>
      <c r="K15" s="13">
        <f t="shared" si="3"/>
        <v>9436.0359312571836</v>
      </c>
      <c r="M15" s="1" t="s">
        <v>21</v>
      </c>
    </row>
    <row r="16" spans="1:17">
      <c r="A16" s="5">
        <v>6</v>
      </c>
      <c r="B16" s="5">
        <v>544</v>
      </c>
      <c r="C16" s="5" t="s">
        <v>15</v>
      </c>
      <c r="D16" s="6">
        <v>6750000</v>
      </c>
      <c r="E16" s="9">
        <v>1</v>
      </c>
      <c r="F16" s="9">
        <f t="shared" si="0"/>
        <v>6750000</v>
      </c>
      <c r="G16" s="5">
        <v>700000</v>
      </c>
      <c r="H16" s="13">
        <f t="shared" si="1"/>
        <v>11121.323529411764</v>
      </c>
      <c r="I16" s="5">
        <v>0.56079999999999997</v>
      </c>
      <c r="J16" s="9">
        <f t="shared" si="2"/>
        <v>1.0295274607703282</v>
      </c>
      <c r="K16" s="13">
        <f t="shared" si="3"/>
        <v>11449.707973640598</v>
      </c>
    </row>
    <row r="17" spans="1:16">
      <c r="A17" s="5">
        <v>7</v>
      </c>
      <c r="B17" s="5">
        <v>3100</v>
      </c>
      <c r="C17" s="5" t="s">
        <v>14</v>
      </c>
      <c r="D17" s="6">
        <v>38440000</v>
      </c>
      <c r="E17" s="9">
        <v>0.9</v>
      </c>
      <c r="F17" s="9">
        <f t="shared" si="0"/>
        <v>34596000</v>
      </c>
      <c r="G17" s="5">
        <v>1560000</v>
      </c>
      <c r="H17" s="13">
        <f t="shared" si="1"/>
        <v>10656.774193548386</v>
      </c>
      <c r="I17" s="5">
        <v>0.55210000000000004</v>
      </c>
      <c r="J17" s="9">
        <f t="shared" si="2"/>
        <v>1.0457507697880817</v>
      </c>
      <c r="K17" s="13">
        <f t="shared" si="3"/>
        <v>11144.329816360989</v>
      </c>
      <c r="M17" t="s">
        <v>23</v>
      </c>
      <c r="P17" s="12">
        <f>AVERAGE(K11:K20)</f>
        <v>10300.278774712013</v>
      </c>
    </row>
    <row r="18" spans="1:16">
      <c r="A18" s="5">
        <v>8</v>
      </c>
      <c r="B18" s="5">
        <v>1204</v>
      </c>
      <c r="C18" s="5" t="s">
        <v>15</v>
      </c>
      <c r="D18" s="6">
        <v>15000000</v>
      </c>
      <c r="E18" s="9">
        <v>1</v>
      </c>
      <c r="F18" s="9">
        <f t="shared" si="0"/>
        <v>15000000</v>
      </c>
      <c r="G18" s="5">
        <v>700000</v>
      </c>
      <c r="H18" s="13">
        <f t="shared" si="1"/>
        <v>11877.076411960134</v>
      </c>
      <c r="I18" s="5">
        <v>0.59660000000000002</v>
      </c>
      <c r="J18" s="9">
        <f t="shared" si="2"/>
        <v>0.96774891049279244</v>
      </c>
      <c r="K18" s="13">
        <f t="shared" si="3"/>
        <v>11494.027757514064</v>
      </c>
      <c r="M18" s="14" t="s">
        <v>24</v>
      </c>
      <c r="P18" s="12">
        <f>STDEV(K11:K20)</f>
        <v>1281.8080495350191</v>
      </c>
    </row>
    <row r="19" spans="1:16">
      <c r="A19" s="5">
        <v>9</v>
      </c>
      <c r="B19" s="5">
        <v>900</v>
      </c>
      <c r="C19" s="5" t="s">
        <v>15</v>
      </c>
      <c r="D19" s="6">
        <v>11250000</v>
      </c>
      <c r="E19" s="9">
        <v>1</v>
      </c>
      <c r="F19" s="9">
        <f t="shared" si="0"/>
        <v>11250000</v>
      </c>
      <c r="G19" s="5">
        <v>950000</v>
      </c>
      <c r="H19" s="13">
        <f t="shared" si="1"/>
        <v>11444.444444444445</v>
      </c>
      <c r="I19" s="5">
        <v>0.58699999999999997</v>
      </c>
      <c r="J19" s="9">
        <f t="shared" si="2"/>
        <v>0.98357580919931853</v>
      </c>
      <c r="K19" s="13">
        <f t="shared" si="3"/>
        <v>11256.47870528109</v>
      </c>
      <c r="M19" t="s">
        <v>25</v>
      </c>
      <c r="P19" s="12">
        <f>(P18/P17)*100</f>
        <v>12.444401530975625</v>
      </c>
    </row>
    <row r="20" spans="1:16">
      <c r="A20" s="5">
        <v>10</v>
      </c>
      <c r="B20" s="5">
        <v>121</v>
      </c>
      <c r="C20" s="5" t="s">
        <v>14</v>
      </c>
      <c r="D20" s="6">
        <v>1500000</v>
      </c>
      <c r="E20" s="9">
        <v>0.9</v>
      </c>
      <c r="F20" s="9">
        <f>D20*E20</f>
        <v>1350000</v>
      </c>
      <c r="G20" s="5">
        <v>230000</v>
      </c>
      <c r="H20" s="13">
        <f t="shared" si="1"/>
        <v>9256.1983471074382</v>
      </c>
      <c r="I20" s="5">
        <v>0.50019999999999998</v>
      </c>
      <c r="J20" s="9">
        <f>$B$4/I20</f>
        <v>1.1542562974810076</v>
      </c>
      <c r="K20" s="13">
        <f t="shared" si="3"/>
        <v>10684.025232882053</v>
      </c>
      <c r="M20" t="s">
        <v>22</v>
      </c>
    </row>
    <row r="21" spans="1:16">
      <c r="N21" s="12">
        <f>P17+P18</f>
        <v>11582.086824247031</v>
      </c>
    </row>
    <row r="22" spans="1:16">
      <c r="N22" s="12">
        <f>P17-P18</f>
        <v>9018.4707251769942</v>
      </c>
    </row>
    <row r="25" spans="1:16">
      <c r="N25" t="s">
        <v>26</v>
      </c>
    </row>
    <row r="26" spans="1:16">
      <c r="A26" s="7" t="s">
        <v>4</v>
      </c>
      <c r="B26" s="7" t="s">
        <v>13</v>
      </c>
      <c r="C26" s="7" t="s">
        <v>7</v>
      </c>
      <c r="D26" s="8" t="s">
        <v>6</v>
      </c>
      <c r="E26" s="7" t="s">
        <v>5</v>
      </c>
      <c r="F26" s="7" t="s">
        <v>6</v>
      </c>
      <c r="G26" s="7" t="s">
        <v>10</v>
      </c>
      <c r="H26" s="7" t="s">
        <v>8</v>
      </c>
      <c r="I26" s="7" t="s">
        <v>9</v>
      </c>
      <c r="J26" s="7" t="s">
        <v>11</v>
      </c>
      <c r="K26" s="7" t="s">
        <v>12</v>
      </c>
    </row>
    <row r="27" spans="1:16">
      <c r="A27" s="5">
        <v>1</v>
      </c>
      <c r="B27" s="5">
        <v>290.39999999999998</v>
      </c>
      <c r="C27" s="5" t="s">
        <v>14</v>
      </c>
      <c r="D27" s="6">
        <v>2850000</v>
      </c>
      <c r="E27" s="9">
        <v>0.9</v>
      </c>
      <c r="F27" s="9">
        <f>D27*E27</f>
        <v>2565000</v>
      </c>
      <c r="G27" s="5">
        <v>40000</v>
      </c>
      <c r="H27" s="13">
        <f>(F27-G27)/B27</f>
        <v>8694.9035812672191</v>
      </c>
      <c r="I27" s="5">
        <v>0.56059999999999999</v>
      </c>
      <c r="J27" s="9">
        <f>$B$4/I27</f>
        <v>1.0298947556189797</v>
      </c>
      <c r="K27" s="13"/>
      <c r="M27" t="s">
        <v>27</v>
      </c>
    </row>
    <row r="28" spans="1:16">
      <c r="A28" s="5">
        <v>2</v>
      </c>
      <c r="B28" s="5">
        <v>532.4</v>
      </c>
      <c r="C28" s="5" t="s">
        <v>14</v>
      </c>
      <c r="D28" s="6">
        <v>6600000</v>
      </c>
      <c r="E28" s="9">
        <v>0.9</v>
      </c>
      <c r="F28" s="9">
        <f t="shared" ref="F28:F35" si="4">D28*E28</f>
        <v>5940000</v>
      </c>
      <c r="G28" s="5">
        <v>1320000</v>
      </c>
      <c r="H28" s="13">
        <f t="shared" ref="H28:H36" si="5">(F28-G28)/B28</f>
        <v>8677.6859504132244</v>
      </c>
      <c r="I28" s="5">
        <v>0.57330000000000003</v>
      </c>
      <c r="J28" s="9">
        <f t="shared" ref="J28:J35" si="6">$B$4/I28</f>
        <v>1.0070800627943484</v>
      </c>
      <c r="K28" s="13"/>
    </row>
    <row r="29" spans="1:16">
      <c r="A29" s="5">
        <v>3</v>
      </c>
      <c r="B29" s="5">
        <v>193.8</v>
      </c>
      <c r="C29" s="5" t="s">
        <v>15</v>
      </c>
      <c r="D29" s="6">
        <v>2000000</v>
      </c>
      <c r="E29" s="9">
        <v>1</v>
      </c>
      <c r="F29" s="9">
        <f t="shared" si="4"/>
        <v>2000000</v>
      </c>
      <c r="G29" s="5">
        <v>267000</v>
      </c>
      <c r="H29" s="13">
        <f t="shared" si="5"/>
        <v>8942.2084623323008</v>
      </c>
      <c r="I29" s="5">
        <v>0.44890000000000002</v>
      </c>
      <c r="J29" s="9">
        <f t="shared" si="6"/>
        <v>1.2861639563377143</v>
      </c>
      <c r="K29" s="13">
        <f t="shared" ref="K29:K36" si="7">H29*J29</f>
        <v>11501.1462143099</v>
      </c>
    </row>
    <row r="30" spans="1:16">
      <c r="A30" s="5">
        <v>4</v>
      </c>
      <c r="B30" s="5">
        <v>1555.8</v>
      </c>
      <c r="C30" s="5" t="s">
        <v>15</v>
      </c>
      <c r="D30" s="6">
        <v>16000000</v>
      </c>
      <c r="E30" s="9">
        <v>1</v>
      </c>
      <c r="F30" s="9">
        <f t="shared" si="4"/>
        <v>16000000</v>
      </c>
      <c r="G30" s="5">
        <v>2920000</v>
      </c>
      <c r="H30" s="13">
        <f t="shared" si="5"/>
        <v>8407.2502892402626</v>
      </c>
      <c r="I30" s="5">
        <v>0.58179999999999998</v>
      </c>
      <c r="J30" s="9">
        <f t="shared" si="6"/>
        <v>0.99236679271227224</v>
      </c>
      <c r="K30" s="13"/>
    </row>
    <row r="31" spans="1:16">
      <c r="A31" s="5">
        <v>5</v>
      </c>
      <c r="B31" s="5">
        <v>3049.2</v>
      </c>
      <c r="C31" s="5" t="s">
        <v>15</v>
      </c>
      <c r="D31" s="6">
        <v>31500000</v>
      </c>
      <c r="E31" s="9">
        <v>1</v>
      </c>
      <c r="F31" s="9">
        <f t="shared" si="4"/>
        <v>31500000</v>
      </c>
      <c r="G31" s="5">
        <v>4410000</v>
      </c>
      <c r="H31" s="13">
        <f t="shared" si="5"/>
        <v>8884.2975206611573</v>
      </c>
      <c r="I31" s="5">
        <v>0.54359999999999997</v>
      </c>
      <c r="J31" s="9">
        <f t="shared" si="6"/>
        <v>1.0621026490066225</v>
      </c>
      <c r="K31" s="13">
        <f t="shared" si="7"/>
        <v>9436.0359312571836</v>
      </c>
    </row>
    <row r="32" spans="1:16">
      <c r="A32" s="5">
        <v>6</v>
      </c>
      <c r="B32" s="5">
        <v>544</v>
      </c>
      <c r="C32" s="5" t="s">
        <v>15</v>
      </c>
      <c r="D32" s="6">
        <v>6750000</v>
      </c>
      <c r="E32" s="9">
        <v>1</v>
      </c>
      <c r="F32" s="9">
        <f t="shared" si="4"/>
        <v>6750000</v>
      </c>
      <c r="G32" s="5">
        <v>700000</v>
      </c>
      <c r="H32" s="13">
        <f t="shared" si="5"/>
        <v>11121.323529411764</v>
      </c>
      <c r="I32" s="5">
        <v>0.56079999999999997</v>
      </c>
      <c r="J32" s="9">
        <f t="shared" si="6"/>
        <v>1.0295274607703282</v>
      </c>
      <c r="K32" s="13">
        <f t="shared" si="7"/>
        <v>11449.707973640598</v>
      </c>
    </row>
    <row r="33" spans="1:11">
      <c r="A33" s="5">
        <v>7</v>
      </c>
      <c r="B33" s="5">
        <v>3100</v>
      </c>
      <c r="C33" s="5" t="s">
        <v>14</v>
      </c>
      <c r="D33" s="6">
        <v>38440000</v>
      </c>
      <c r="E33" s="9">
        <v>0.9</v>
      </c>
      <c r="F33" s="9">
        <f t="shared" si="4"/>
        <v>34596000</v>
      </c>
      <c r="G33" s="5">
        <v>1560000</v>
      </c>
      <c r="H33" s="13">
        <f t="shared" si="5"/>
        <v>10656.774193548386</v>
      </c>
      <c r="I33" s="5">
        <v>0.55210000000000004</v>
      </c>
      <c r="J33" s="9">
        <f t="shared" si="6"/>
        <v>1.0457507697880817</v>
      </c>
      <c r="K33" s="13">
        <f t="shared" si="7"/>
        <v>11144.329816360989</v>
      </c>
    </row>
    <row r="34" spans="1:11">
      <c r="A34" s="5">
        <v>8</v>
      </c>
      <c r="B34" s="5">
        <v>1204</v>
      </c>
      <c r="C34" s="5" t="s">
        <v>15</v>
      </c>
      <c r="D34" s="6">
        <v>15000000</v>
      </c>
      <c r="E34" s="9">
        <v>1</v>
      </c>
      <c r="F34" s="9">
        <f t="shared" si="4"/>
        <v>15000000</v>
      </c>
      <c r="G34" s="5">
        <v>700000</v>
      </c>
      <c r="H34" s="13">
        <f t="shared" si="5"/>
        <v>11877.076411960134</v>
      </c>
      <c r="I34" s="5">
        <v>0.59660000000000002</v>
      </c>
      <c r="J34" s="9">
        <f t="shared" si="6"/>
        <v>0.96774891049279244</v>
      </c>
      <c r="K34" s="13">
        <f t="shared" si="7"/>
        <v>11494.027757514064</v>
      </c>
    </row>
    <row r="35" spans="1:11">
      <c r="A35" s="5">
        <v>9</v>
      </c>
      <c r="B35" s="5">
        <v>900</v>
      </c>
      <c r="C35" s="5" t="s">
        <v>15</v>
      </c>
      <c r="D35" s="6">
        <v>11250000</v>
      </c>
      <c r="E35" s="9">
        <v>1</v>
      </c>
      <c r="F35" s="9">
        <f t="shared" si="4"/>
        <v>11250000</v>
      </c>
      <c r="G35" s="5">
        <v>950000</v>
      </c>
      <c r="H35" s="13">
        <f t="shared" si="5"/>
        <v>11444.444444444445</v>
      </c>
      <c r="I35" s="5">
        <v>0.58699999999999997</v>
      </c>
      <c r="J35" s="9">
        <f t="shared" si="6"/>
        <v>0.98357580919931853</v>
      </c>
      <c r="K35" s="13">
        <f t="shared" si="7"/>
        <v>11256.47870528109</v>
      </c>
    </row>
    <row r="36" spans="1:11">
      <c r="A36" s="5">
        <v>10</v>
      </c>
      <c r="B36" s="5">
        <v>121</v>
      </c>
      <c r="C36" s="5" t="s">
        <v>14</v>
      </c>
      <c r="D36" s="6">
        <v>1500000</v>
      </c>
      <c r="E36" s="9">
        <v>0.9</v>
      </c>
      <c r="F36" s="9">
        <f>D36*E36</f>
        <v>1350000</v>
      </c>
      <c r="G36" s="5">
        <v>230000</v>
      </c>
      <c r="H36" s="13">
        <f t="shared" si="5"/>
        <v>9256.1983471074382</v>
      </c>
      <c r="I36" s="5">
        <v>0.50019999999999998</v>
      </c>
      <c r="J36" s="9">
        <f>$B$4/I36</f>
        <v>1.1542562974810076</v>
      </c>
      <c r="K36" s="13">
        <f t="shared" si="7"/>
        <v>10684.025232882053</v>
      </c>
    </row>
    <row r="38" spans="1:11">
      <c r="A38" s="1" t="s">
        <v>21</v>
      </c>
    </row>
    <row r="40" spans="1:11">
      <c r="A40" t="s">
        <v>23</v>
      </c>
      <c r="C40" s="12">
        <f>AVERAGE(K29,K31,K32,K33,K34,K35,K36)</f>
        <v>10995.107375892268</v>
      </c>
      <c r="D40" s="12"/>
    </row>
    <row r="41" spans="1:11">
      <c r="A41" s="14" t="s">
        <v>24</v>
      </c>
      <c r="C41">
        <f>STDEV(K29,K31,K32,K33,K34,K35,K36)</f>
        <v>744.95153470993819</v>
      </c>
      <c r="D41" s="12"/>
    </row>
    <row r="42" spans="1:11">
      <c r="A42" t="s">
        <v>25</v>
      </c>
      <c r="C42">
        <f>C41/C40*100</f>
        <v>6.7753002243826135</v>
      </c>
      <c r="D42" s="12"/>
      <c r="E42" t="s">
        <v>28</v>
      </c>
    </row>
    <row r="43" spans="1:11">
      <c r="A43" t="s">
        <v>22</v>
      </c>
    </row>
    <row r="44" spans="1:11">
      <c r="B44" s="12"/>
    </row>
    <row r="45" spans="1:11">
      <c r="B45" s="12"/>
    </row>
    <row r="48" spans="1:11">
      <c r="A48" s="1" t="s">
        <v>29</v>
      </c>
    </row>
    <row r="50" spans="1:10">
      <c r="A50" s="15" t="s">
        <v>30</v>
      </c>
      <c r="B50">
        <v>1.44</v>
      </c>
    </row>
    <row r="56" spans="1:10">
      <c r="A56" t="s">
        <v>31</v>
      </c>
      <c r="B56">
        <f>SQRT(A57)</f>
        <v>2.4494897427831779</v>
      </c>
      <c r="D56" t="s">
        <v>32</v>
      </c>
      <c r="F56">
        <f>C40-(1.44*C41/$B$56)</f>
        <v>10557.167101538049</v>
      </c>
      <c r="H56" s="1" t="s">
        <v>34</v>
      </c>
    </row>
    <row r="57" spans="1:10">
      <c r="A57">
        <v>6</v>
      </c>
      <c r="D57" t="s">
        <v>33</v>
      </c>
      <c r="F57">
        <f>C40+(1.44*C41/B56)</f>
        <v>11433.047650246488</v>
      </c>
    </row>
    <row r="58" spans="1:10">
      <c r="D58" t="s">
        <v>35</v>
      </c>
      <c r="F58" s="12">
        <f>C40</f>
        <v>10995.107375892268</v>
      </c>
    </row>
    <row r="60" spans="1:10">
      <c r="E60" t="s">
        <v>36</v>
      </c>
      <c r="F60" s="12"/>
      <c r="G60">
        <v>10995.11</v>
      </c>
      <c r="I60" s="16">
        <v>1</v>
      </c>
    </row>
    <row r="61" spans="1:10">
      <c r="G61">
        <v>10557.167100000001</v>
      </c>
      <c r="I61" s="11" t="s">
        <v>19</v>
      </c>
    </row>
    <row r="63" spans="1:10">
      <c r="H63" t="s">
        <v>37</v>
      </c>
      <c r="I63">
        <f>G61*100/G60</f>
        <v>96.016930253539968</v>
      </c>
      <c r="J63" t="s">
        <v>38</v>
      </c>
    </row>
    <row r="65" spans="7:10">
      <c r="G65">
        <v>10995.11</v>
      </c>
      <c r="I65" s="16">
        <v>1</v>
      </c>
    </row>
    <row r="66" spans="7:10">
      <c r="G66">
        <v>11433.047699999999</v>
      </c>
      <c r="I66" s="11" t="s">
        <v>19</v>
      </c>
    </row>
    <row r="68" spans="7:10">
      <c r="H68" t="s">
        <v>37</v>
      </c>
      <c r="I68">
        <f>G66*100/10995.11</f>
        <v>103.98302245270852</v>
      </c>
      <c r="J68" t="s">
        <v>38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oleObjects>
    <oleObject progId="Equation.3" shapeId="1025" r:id="rId4"/>
    <oleObject progId="Equation.3" shapeId="1026" r:id="rId5"/>
    <oleObject progId="Equation.3" shapeId="1027" r:id="rId6"/>
    <oleObject progId="Equation.3" shapeId="1028" r:id="rId7"/>
    <oleObject progId="Equation.3" shapeId="1029" r:id="rId8"/>
    <oleObject progId="Equation.3" shapeId="1030" r:id="rId9"/>
    <oleObject progId="Equation.3" shapeId="1031" r:id="rId10"/>
    <oleObject progId="Equation.3" shapeId="1032" r:id="rId11"/>
    <oleObject progId="Equation.3" shapeId="1033" r:id="rId12"/>
    <oleObject progId="Equation.3" shapeId="1034" r:id="rId13"/>
    <oleObject progId="Equation.3" shapeId="1035" r:id="rId14"/>
    <oleObject progId="Equation.3" shapeId="1036" r:id="rId15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César Poliseli</dc:creator>
  <cp:lastModifiedBy>Paulo César Poliseli</cp:lastModifiedBy>
  <dcterms:created xsi:type="dcterms:W3CDTF">2016-06-22T20:29:44Z</dcterms:created>
  <dcterms:modified xsi:type="dcterms:W3CDTF">2016-11-29T20:36:55Z</dcterms:modified>
</cp:coreProperties>
</file>