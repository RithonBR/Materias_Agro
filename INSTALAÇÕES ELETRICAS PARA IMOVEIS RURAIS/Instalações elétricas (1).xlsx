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FD0E4D77-61DF-4072-8EB7-4DAF8E54B713}" xr6:coauthVersionLast="47" xr6:coauthVersionMax="47" xr10:uidLastSave="{00000000-0000-0000-0000-000000000000}"/>
  <bookViews>
    <workbookView xWindow="11520" yWindow="600" windowWidth="11520" windowHeight="12360" firstSheet="1" activeTab="1" xr2:uid="{00000000-000D-0000-FFFF-FFFF00000000}"/>
  </bookViews>
  <sheets>
    <sheet name="Circuitos" sheetId="1" r:id="rId1"/>
    <sheet name="Metodo 1" sheetId="2" r:id="rId2"/>
    <sheet name="Metodo 2" sheetId="3" r:id="rId3"/>
    <sheet name="Metodo 3" sheetId="4" r:id="rId4"/>
    <sheet name="distancias" sheetId="7" r:id="rId5"/>
    <sheet name="Iluminotecnica" sheetId="5" r:id="rId6"/>
    <sheet name="referenci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gMMUdiz3COZkumAFjbbypiXgyhpOrBY8s+9tT61/i8o="/>
    </ext>
  </extLst>
</workbook>
</file>

<file path=xl/calcChain.xml><?xml version="1.0" encoding="utf-8"?>
<calcChain xmlns="http://schemas.openxmlformats.org/spreadsheetml/2006/main">
  <c r="R19" i="5" l="1"/>
  <c r="R17" i="5"/>
  <c r="R18" i="5" s="1"/>
  <c r="S12" i="5"/>
  <c r="S3" i="5"/>
  <c r="S4" i="5"/>
  <c r="S5" i="5"/>
  <c r="S6" i="5"/>
  <c r="S7" i="5"/>
  <c r="S8" i="5"/>
  <c r="S9" i="5"/>
  <c r="S10" i="5"/>
  <c r="S11" i="5"/>
  <c r="S2" i="5"/>
  <c r="F9" i="7"/>
  <c r="R12" i="5"/>
  <c r="E16" i="7"/>
  <c r="D16" i="7"/>
  <c r="F16" i="7" s="1"/>
  <c r="E15" i="7"/>
  <c r="D15" i="7"/>
  <c r="F15" i="7" s="1"/>
  <c r="E14" i="7"/>
  <c r="D14" i="7"/>
  <c r="F14" i="7" s="1"/>
  <c r="E13" i="7"/>
  <c r="D13" i="7"/>
  <c r="F13" i="7" s="1"/>
  <c r="E12" i="7"/>
  <c r="D12" i="7"/>
  <c r="F12" i="7" s="1"/>
  <c r="E11" i="7"/>
  <c r="D11" i="7"/>
  <c r="F11" i="7" s="1"/>
  <c r="E10" i="7"/>
  <c r="D10" i="7"/>
  <c r="F10" i="7" s="1"/>
  <c r="E9" i="7"/>
  <c r="D9" i="7"/>
  <c r="D171" i="4"/>
  <c r="D157" i="4"/>
  <c r="D146" i="4"/>
  <c r="D119" i="4"/>
  <c r="D95" i="4"/>
  <c r="D66" i="4"/>
  <c r="D32" i="4"/>
  <c r="D17" i="4"/>
  <c r="E189" i="7"/>
  <c r="E165" i="7"/>
  <c r="E147" i="7"/>
  <c r="E113" i="7"/>
  <c r="E98" i="7"/>
  <c r="E71" i="7"/>
  <c r="E42" i="7"/>
  <c r="E28" i="7"/>
  <c r="F21" i="7"/>
  <c r="F22" i="7"/>
  <c r="F23" i="7"/>
  <c r="F24" i="7"/>
  <c r="F25" i="7"/>
  <c r="F26" i="7"/>
  <c r="F27" i="7"/>
  <c r="F32" i="7"/>
  <c r="F33" i="7"/>
  <c r="F34" i="7"/>
  <c r="F35" i="7"/>
  <c r="F36" i="7"/>
  <c r="F37" i="7"/>
  <c r="F38" i="7"/>
  <c r="F39" i="7"/>
  <c r="F40" i="7"/>
  <c r="F41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102" i="7"/>
  <c r="F103" i="7"/>
  <c r="F104" i="7"/>
  <c r="F105" i="7"/>
  <c r="F106" i="7"/>
  <c r="F107" i="7"/>
  <c r="F108" i="7"/>
  <c r="F109" i="7"/>
  <c r="F110" i="7"/>
  <c r="F111" i="7"/>
  <c r="F112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L11" i="5"/>
  <c r="H11" i="5"/>
  <c r="J11" i="5" s="1"/>
  <c r="M11" i="5" s="1"/>
  <c r="Q11" i="5" s="1"/>
  <c r="R11" i="5" s="1"/>
  <c r="D11" i="5"/>
  <c r="N10" i="5"/>
  <c r="M10" i="5"/>
  <c r="Q10" i="5" s="1"/>
  <c r="R10" i="5" s="1"/>
  <c r="L10" i="5"/>
  <c r="J10" i="5"/>
  <c r="H10" i="5"/>
  <c r="D10" i="5"/>
  <c r="N9" i="5"/>
  <c r="M9" i="5"/>
  <c r="Q9" i="5" s="1"/>
  <c r="R9" i="5" s="1"/>
  <c r="L9" i="5"/>
  <c r="J9" i="5"/>
  <c r="H9" i="5"/>
  <c r="D9" i="5"/>
  <c r="N8" i="5"/>
  <c r="M8" i="5"/>
  <c r="Q8" i="5" s="1"/>
  <c r="R8" i="5" s="1"/>
  <c r="L8" i="5"/>
  <c r="J8" i="5"/>
  <c r="H8" i="5"/>
  <c r="D8" i="5"/>
  <c r="N7" i="5"/>
  <c r="M7" i="5"/>
  <c r="Q7" i="5" s="1"/>
  <c r="R7" i="5" s="1"/>
  <c r="L7" i="5"/>
  <c r="J7" i="5"/>
  <c r="H7" i="5"/>
  <c r="D7" i="5"/>
  <c r="N6" i="5"/>
  <c r="M6" i="5"/>
  <c r="Q6" i="5" s="1"/>
  <c r="R6" i="5" s="1"/>
  <c r="L6" i="5"/>
  <c r="J6" i="5"/>
  <c r="H6" i="5"/>
  <c r="D6" i="5"/>
  <c r="N5" i="5"/>
  <c r="M5" i="5"/>
  <c r="Q5" i="5" s="1"/>
  <c r="R5" i="5" s="1"/>
  <c r="L5" i="5"/>
  <c r="J5" i="5"/>
  <c r="H5" i="5"/>
  <c r="D5" i="5"/>
  <c r="N4" i="5"/>
  <c r="M4" i="5"/>
  <c r="Q4" i="5" s="1"/>
  <c r="R4" i="5" s="1"/>
  <c r="L4" i="5"/>
  <c r="J4" i="5"/>
  <c r="H4" i="5"/>
  <c r="D4" i="5"/>
  <c r="N3" i="5"/>
  <c r="M3" i="5"/>
  <c r="Q3" i="5" s="1"/>
  <c r="R3" i="5" s="1"/>
  <c r="L3" i="5"/>
  <c r="J3" i="5"/>
  <c r="H3" i="5"/>
  <c r="D3" i="5"/>
  <c r="N2" i="5"/>
  <c r="M2" i="5"/>
  <c r="Q2" i="5" s="1"/>
  <c r="R2" i="5" s="1"/>
  <c r="L2" i="5"/>
  <c r="J2" i="5"/>
  <c r="H2" i="5"/>
  <c r="D2" i="5"/>
  <c r="E170" i="4"/>
  <c r="E169" i="4"/>
  <c r="E168" i="4"/>
  <c r="E167" i="4"/>
  <c r="E166" i="4"/>
  <c r="E165" i="4"/>
  <c r="E164" i="4"/>
  <c r="E163" i="4"/>
  <c r="E162" i="4"/>
  <c r="E161" i="4"/>
  <c r="E156" i="4"/>
  <c r="E155" i="4"/>
  <c r="E154" i="4"/>
  <c r="E153" i="4"/>
  <c r="E152" i="4"/>
  <c r="E151" i="4"/>
  <c r="E150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1" i="4"/>
  <c r="E30" i="4"/>
  <c r="E29" i="4"/>
  <c r="E28" i="4"/>
  <c r="E27" i="4"/>
  <c r="E26" i="4"/>
  <c r="E25" i="4"/>
  <c r="E24" i="4"/>
  <c r="E23" i="4"/>
  <c r="E22" i="4"/>
  <c r="E21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G162" i="3"/>
  <c r="G161" i="3"/>
  <c r="G160" i="3"/>
  <c r="G159" i="3"/>
  <c r="G158" i="3"/>
  <c r="G157" i="3"/>
  <c r="G156" i="3"/>
  <c r="G155" i="3"/>
  <c r="G154" i="3"/>
  <c r="G153" i="3"/>
  <c r="G149" i="3"/>
  <c r="G148" i="3"/>
  <c r="G147" i="3"/>
  <c r="G146" i="3"/>
  <c r="G145" i="3"/>
  <c r="G144" i="3"/>
  <c r="G143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29" i="3"/>
  <c r="G28" i="3"/>
  <c r="G27" i="3"/>
  <c r="G26" i="3"/>
  <c r="G25" i="3"/>
  <c r="G24" i="3"/>
  <c r="G23" i="3"/>
  <c r="G22" i="3"/>
  <c r="G21" i="3"/>
  <c r="G20" i="3"/>
  <c r="G19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F162" i="2"/>
  <c r="F161" i="2"/>
  <c r="F160" i="2"/>
  <c r="F159" i="2"/>
  <c r="F158" i="2"/>
  <c r="F157" i="2"/>
  <c r="F156" i="2"/>
  <c r="F155" i="2"/>
  <c r="F154" i="2"/>
  <c r="F153" i="2"/>
  <c r="F149" i="2"/>
  <c r="F148" i="2"/>
  <c r="F147" i="2"/>
  <c r="F146" i="2"/>
  <c r="F145" i="2"/>
  <c r="F144" i="2"/>
  <c r="F143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29" i="2"/>
  <c r="F28" i="2"/>
  <c r="F27" i="2"/>
  <c r="F26" i="2"/>
  <c r="F25" i="2"/>
  <c r="F24" i="2"/>
  <c r="F23" i="2"/>
  <c r="F22" i="2"/>
  <c r="F21" i="2"/>
  <c r="F20" i="2"/>
  <c r="F19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148" i="1"/>
  <c r="E147" i="1"/>
  <c r="E146" i="1"/>
  <c r="E145" i="1"/>
  <c r="E144" i="1"/>
  <c r="E143" i="1"/>
  <c r="E142" i="1"/>
  <c r="E141" i="1"/>
  <c r="E140" i="1"/>
  <c r="E139" i="1"/>
  <c r="E137" i="1"/>
  <c r="E136" i="1"/>
  <c r="E135" i="1"/>
  <c r="E134" i="1"/>
  <c r="E133" i="1"/>
  <c r="E132" i="1"/>
  <c r="E131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7" i="1"/>
  <c r="E26" i="1"/>
  <c r="E25" i="1"/>
  <c r="E24" i="1"/>
  <c r="E23" i="1"/>
  <c r="E22" i="1"/>
  <c r="E21" i="1"/>
  <c r="E20" i="1"/>
  <c r="E19" i="1"/>
  <c r="E18" i="1"/>
  <c r="E17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F165" i="7" l="1"/>
  <c r="F113" i="7"/>
  <c r="F71" i="7"/>
  <c r="F98" i="7"/>
  <c r="F189" i="7"/>
  <c r="F28" i="7"/>
  <c r="F42" i="7"/>
  <c r="E5" i="7"/>
  <c r="E6" i="7" s="1"/>
  <c r="F147" i="7"/>
  <c r="E17" i="4"/>
  <c r="E66" i="4"/>
  <c r="E119" i="4"/>
  <c r="E171" i="4"/>
  <c r="E157" i="4"/>
  <c r="E146" i="4"/>
  <c r="E32" i="4"/>
  <c r="E95" i="4"/>
  <c r="N11" i="5"/>
</calcChain>
</file>

<file path=xl/sharedStrings.xml><?xml version="1.0" encoding="utf-8"?>
<sst xmlns="http://schemas.openxmlformats.org/spreadsheetml/2006/main" count="2034" uniqueCount="241">
  <si>
    <t>SALA DE CULTIVO</t>
  </si>
  <si>
    <t>QUANTIDADE</t>
  </si>
  <si>
    <t>Ci</t>
  </si>
  <si>
    <t>P (W)</t>
  </si>
  <si>
    <t>I (A)</t>
  </si>
  <si>
    <t xml:space="preserve">Nebulizador </t>
  </si>
  <si>
    <t>c1</t>
  </si>
  <si>
    <t>c2</t>
  </si>
  <si>
    <t>Exaustor</t>
  </si>
  <si>
    <t>c3</t>
  </si>
  <si>
    <t>c4</t>
  </si>
  <si>
    <t>c5</t>
  </si>
  <si>
    <t>c6</t>
  </si>
  <si>
    <t>c7</t>
  </si>
  <si>
    <t>c8</t>
  </si>
  <si>
    <t>Termostato</t>
  </si>
  <si>
    <t>c9</t>
  </si>
  <si>
    <t>Tomada</t>
  </si>
  <si>
    <t>c10</t>
  </si>
  <si>
    <t>c11</t>
  </si>
  <si>
    <t>c12</t>
  </si>
  <si>
    <t>c13</t>
  </si>
  <si>
    <t>c14</t>
  </si>
  <si>
    <t xml:space="preserve">CORRIDA MICELIAL </t>
  </si>
  <si>
    <t xml:space="preserve">Aquecedor </t>
  </si>
  <si>
    <t>c15</t>
  </si>
  <si>
    <t>c16</t>
  </si>
  <si>
    <t>c17</t>
  </si>
  <si>
    <t>c18</t>
  </si>
  <si>
    <t>c19</t>
  </si>
  <si>
    <t xml:space="preserve">Umidificador </t>
  </si>
  <si>
    <t>c20</t>
  </si>
  <si>
    <t>c21</t>
  </si>
  <si>
    <t>c22</t>
  </si>
  <si>
    <t>c23</t>
  </si>
  <si>
    <t>c24</t>
  </si>
  <si>
    <t>c25</t>
  </si>
  <si>
    <t xml:space="preserve">LABORÁTORIO </t>
  </si>
  <si>
    <t xml:space="preserve">Fluxo laminar horizontal </t>
  </si>
  <si>
    <t>c26</t>
  </si>
  <si>
    <t xml:space="preserve">Autoclave </t>
  </si>
  <si>
    <t>c27</t>
  </si>
  <si>
    <t>c28</t>
  </si>
  <si>
    <t>c29</t>
  </si>
  <si>
    <t>c30</t>
  </si>
  <si>
    <t xml:space="preserve">Estufa </t>
  </si>
  <si>
    <t>c31</t>
  </si>
  <si>
    <t>c32</t>
  </si>
  <si>
    <t>c33</t>
  </si>
  <si>
    <t>c34</t>
  </si>
  <si>
    <t xml:space="preserve">Destilador </t>
  </si>
  <si>
    <t>c35</t>
  </si>
  <si>
    <t xml:space="preserve">Freezer </t>
  </si>
  <si>
    <t>c36</t>
  </si>
  <si>
    <t>c37</t>
  </si>
  <si>
    <t xml:space="preserve">Centrífuga </t>
  </si>
  <si>
    <t>c38</t>
  </si>
  <si>
    <t>c39</t>
  </si>
  <si>
    <t>BOD</t>
  </si>
  <si>
    <t>c40</t>
  </si>
  <si>
    <t>Shaker orbital</t>
  </si>
  <si>
    <t>c41</t>
  </si>
  <si>
    <t>c42</t>
  </si>
  <si>
    <t>c43</t>
  </si>
  <si>
    <t xml:space="preserve">Geladeira </t>
  </si>
  <si>
    <t>c44</t>
  </si>
  <si>
    <t>c45</t>
  </si>
  <si>
    <t xml:space="preserve">Seladora automatica </t>
  </si>
  <si>
    <t>c46</t>
  </si>
  <si>
    <t xml:space="preserve">Ar-condionado </t>
  </si>
  <si>
    <t>c47</t>
  </si>
  <si>
    <t>c48</t>
  </si>
  <si>
    <t>Tomadas</t>
  </si>
  <si>
    <t>c49</t>
  </si>
  <si>
    <t>c50</t>
  </si>
  <si>
    <t>c51</t>
  </si>
  <si>
    <t>c52</t>
  </si>
  <si>
    <t>c53</t>
  </si>
  <si>
    <t>c54</t>
  </si>
  <si>
    <t>c55</t>
  </si>
  <si>
    <t>PREPARO DO SUBSTRATO</t>
  </si>
  <si>
    <t>Esteira</t>
  </si>
  <si>
    <t>c56</t>
  </si>
  <si>
    <t>Misturador</t>
  </si>
  <si>
    <t>c57</t>
  </si>
  <si>
    <t>c58</t>
  </si>
  <si>
    <t>c59</t>
  </si>
  <si>
    <t>c60</t>
  </si>
  <si>
    <t>c61</t>
  </si>
  <si>
    <t>c62</t>
  </si>
  <si>
    <t>Ensacadeira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</si>
  <si>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</si>
  <si>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</si>
  <si>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</si>
  <si>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</si>
  <si>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</si>
  <si>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</si>
  <si>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</si>
  <si>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</si>
  <si>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</si>
  <si>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</si>
  <si>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</si>
  <si>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</si>
  <si>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</si>
  <si>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</si>
  <si>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</si>
  <si>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</si>
  <si>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</si>
  <si>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</si>
  <si>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PASTEURIZAÇÃO</t>
  </si>
  <si>
    <t xml:space="preserve">Pasteurizador 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</si>
  <si>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</si>
  <si>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</si>
  <si>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</si>
  <si>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</si>
  <si>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</si>
  <si>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</si>
  <si>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</si>
  <si>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</si>
  <si>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</si>
  <si>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</si>
  <si>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</si>
  <si>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</si>
  <si>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</si>
  <si>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</si>
  <si>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</si>
  <si>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</si>
  <si>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</si>
  <si>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</si>
  <si>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</si>
  <si>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</si>
  <si>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BENEFICIAMENTO</t>
  </si>
  <si>
    <t>Ar-condionado indutrial</t>
  </si>
  <si>
    <t>c101</t>
  </si>
  <si>
    <t>c102</t>
  </si>
  <si>
    <t>c103</t>
  </si>
  <si>
    <t>c104</t>
  </si>
  <si>
    <t>Seladora a vácuo</t>
  </si>
  <si>
    <t>c105</t>
  </si>
  <si>
    <t>c106</t>
  </si>
  <si>
    <t>c107</t>
  </si>
  <si>
    <t>c108</t>
  </si>
  <si>
    <t>c109</t>
  </si>
  <si>
    <t>Triturador</t>
  </si>
  <si>
    <t>c110</t>
  </si>
  <si>
    <t>c111</t>
  </si>
  <si>
    <t>c112</t>
  </si>
  <si>
    <t>c113</t>
  </si>
  <si>
    <t>c114</t>
  </si>
  <si>
    <t xml:space="preserve">Dosadora de balança 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</si>
  <si>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</si>
  <si>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</si>
  <si>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</si>
  <si>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</si>
  <si>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</si>
  <si>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</si>
  <si>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</si>
  <si>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</si>
  <si>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</si>
  <si>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Pre-estoque</t>
  </si>
  <si>
    <t>c124</t>
  </si>
  <si>
    <t>c125</t>
  </si>
  <si>
    <t>c126</t>
  </si>
  <si>
    <t>c127</t>
  </si>
  <si>
    <t>c128</t>
  </si>
  <si>
    <t>c129</t>
  </si>
  <si>
    <t>c130</t>
  </si>
  <si>
    <t>Estoque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</si>
  <si>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</si>
  <si>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</si>
  <si>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</si>
  <si>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</si>
  <si>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</si>
  <si>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</si>
  <si>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</si>
  <si>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</si>
  <si>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</si>
  <si>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</si>
  <si>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MÉTODO</t>
  </si>
  <si>
    <t>Ø (nn^2)</t>
  </si>
  <si>
    <t xml:space="preserve">Ø neutro </t>
  </si>
  <si>
    <t>Ø terra</t>
  </si>
  <si>
    <t>Disjuntor</t>
  </si>
  <si>
    <t>B1</t>
  </si>
  <si>
    <t>Numero de Condutores carregados</t>
  </si>
  <si>
    <t>Area</t>
  </si>
  <si>
    <t>Nivel de Luminamento</t>
  </si>
  <si>
    <t>Lumens</t>
  </si>
  <si>
    <t>Altura do Pé direito</t>
  </si>
  <si>
    <t>Plano util de trabalho</t>
  </si>
  <si>
    <t>Plano de altura das luminarias</t>
  </si>
  <si>
    <t>Distancia Teorica</t>
  </si>
  <si>
    <t>Comprimento</t>
  </si>
  <si>
    <t>Número de luminárias do comprimento</t>
  </si>
  <si>
    <t>Largura</t>
  </si>
  <si>
    <t>Número de luminárias da largura</t>
  </si>
  <si>
    <t>Número total de luminárias</t>
  </si>
  <si>
    <t xml:space="preserve">Cálculo do fluxo luminoso por luminária </t>
  </si>
  <si>
    <t>Horas Ligado</t>
  </si>
  <si>
    <t>w</t>
  </si>
  <si>
    <t>w do conjunto</t>
  </si>
  <si>
    <t>Sala de Cultivo</t>
  </si>
  <si>
    <t>100 + 200</t>
  </si>
  <si>
    <t>Corrida Micelial</t>
  </si>
  <si>
    <t>Laboratorio</t>
  </si>
  <si>
    <t>Preparo do Substrato</t>
  </si>
  <si>
    <t>200+200</t>
  </si>
  <si>
    <t>Pasteurização</t>
  </si>
  <si>
    <t>Beneficiamento</t>
  </si>
  <si>
    <t>Entrada</t>
  </si>
  <si>
    <t>Area Auxiliar</t>
  </si>
  <si>
    <t>Quadro geral até o quadro principal</t>
  </si>
  <si>
    <t>Do principal ate</t>
  </si>
  <si>
    <t>Quadro 1</t>
  </si>
  <si>
    <t>Quadro 2</t>
  </si>
  <si>
    <t>Quadro 3</t>
  </si>
  <si>
    <t>Quadro 4</t>
  </si>
  <si>
    <t>Quadro 5</t>
  </si>
  <si>
    <t>Quadro 6</t>
  </si>
  <si>
    <t>Quadro 7</t>
  </si>
  <si>
    <t>Quadro 8</t>
  </si>
  <si>
    <t>Quadro 1 até</t>
  </si>
  <si>
    <t>Quadro 2 até</t>
  </si>
  <si>
    <t>Quadro 3 até</t>
  </si>
  <si>
    <t>Quadro 4 até</t>
  </si>
  <si>
    <t>Quadro 5 até</t>
  </si>
  <si>
    <t>Quadro 6 até</t>
  </si>
  <si>
    <t>Quadro 7 até</t>
  </si>
  <si>
    <t>Quadro 8 até</t>
  </si>
  <si>
    <t>w.m</t>
  </si>
  <si>
    <t>Soma</t>
  </si>
  <si>
    <t>W</t>
  </si>
  <si>
    <t>A</t>
  </si>
  <si>
    <t>Tarifa para meio rural</t>
  </si>
  <si>
    <t>1 hora</t>
  </si>
  <si>
    <t>8 horas</t>
  </si>
  <si>
    <t>1 dia de fabrica funcionando</t>
  </si>
  <si>
    <t>wh</t>
  </si>
  <si>
    <t>Wt</t>
  </si>
  <si>
    <t>PT KW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</si>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</sst>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[$R$-416]\ * #,##0.00_-;\-[$R$-416]\ * #,##0.00_-;_-[$R$-416]\ * &quot;-&quot;??_-;_-@_-"/>
    <numFmt numFmtId="165" formatCode="_-* #,##0.00\ _€_-;\-* #,##0.00\ _€_-;_-* &quot;-&quot;??\ _€_-;_-@_-"/>
    <numFmt numFmtId="166" formatCode="0.000"/>
  </numFmts>
  <fonts count="15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0"/>
      <color rgb="FF040C28"/>
      <name val="Arial"/>
      <family val="2"/>
    </font>
    <font>
      <b/>
      <sz val="10"/>
      <color rgb="FF040C28"/>
      <name val="Arial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rgb="FF212529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4" fontId="13" fillId="0" borderId="0" applyFont="0" applyFill="0" applyBorder="0" applyAlignment="0" applyProtection="0"/>
  </cellStyleXfs>
  <cellXfs count="8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3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center"/>
    </xf>
    <xf numFmtId="3" fontId="3" fillId="3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3" fontId="4" fillId="3" borderId="0" xfId="0" applyNumberFormat="1" applyFont="1" applyFill="1" applyAlignment="1">
      <alignment horizontal="center"/>
    </xf>
    <xf numFmtId="1" fontId="5" fillId="0" borderId="0" xfId="0" applyNumberFormat="1" applyFont="1"/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9" fillId="0" borderId="2" xfId="0" applyFont="1" applyBorder="1"/>
    <xf numFmtId="0" fontId="3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3" fontId="3" fillId="3" borderId="2" xfId="0" applyNumberFormat="1" applyFont="1" applyFill="1" applyBorder="1" applyAlignment="1">
      <alignment horizontal="center"/>
    </xf>
    <xf numFmtId="3" fontId="4" fillId="3" borderId="2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0" xfId="0" applyFont="1"/>
    <xf numFmtId="0" fontId="0" fillId="0" borderId="6" xfId="0" applyBorder="1"/>
    <xf numFmtId="3" fontId="3" fillId="0" borderId="6" xfId="0" applyNumberFormat="1" applyFont="1" applyBorder="1" applyAlignment="1">
      <alignment horizontal="center"/>
    </xf>
    <xf numFmtId="0" fontId="11" fillId="0" borderId="2" xfId="0" applyFont="1" applyBorder="1"/>
    <xf numFmtId="0" fontId="9" fillId="0" borderId="6" xfId="0" applyFont="1" applyBorder="1"/>
    <xf numFmtId="3" fontId="3" fillId="3" borderId="6" xfId="0" applyNumberFormat="1" applyFont="1" applyFill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3" fontId="1" fillId="3" borderId="2" xfId="0" applyNumberFormat="1" applyFont="1" applyFill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2" fillId="3" borderId="7" xfId="0" applyFont="1" applyFill="1" applyBorder="1" applyAlignment="1">
      <alignment horizontal="center"/>
    </xf>
    <xf numFmtId="3" fontId="1" fillId="0" borderId="7" xfId="0" applyNumberFormat="1" applyFont="1" applyBorder="1" applyAlignment="1">
      <alignment horizontal="center"/>
    </xf>
    <xf numFmtId="3" fontId="11" fillId="0" borderId="7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2" fillId="3" borderId="0" xfId="0" applyFont="1" applyFill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3" borderId="0" xfId="0" applyNumberFormat="1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3" fontId="0" fillId="0" borderId="2" xfId="0" applyNumberFormat="1" applyBorder="1"/>
    <xf numFmtId="1" fontId="0" fillId="0" borderId="2" xfId="0" applyNumberFormat="1" applyBorder="1"/>
    <xf numFmtId="1" fontId="11" fillId="0" borderId="0" xfId="0" applyNumberFormat="1" applyFont="1"/>
    <xf numFmtId="164" fontId="0" fillId="0" borderId="0" xfId="1" applyNumberFormat="1" applyFont="1"/>
    <xf numFmtId="0" fontId="14" fillId="5" borderId="8" xfId="0" applyFont="1" applyFill="1" applyBorder="1" applyAlignment="1">
      <alignment vertical="center" wrapText="1"/>
    </xf>
    <xf numFmtId="164" fontId="0" fillId="0" borderId="0" xfId="0" applyNumberFormat="1"/>
    <xf numFmtId="3" fontId="0" fillId="0" borderId="0" xfId="0" applyNumberFormat="1"/>
    <xf numFmtId="0" fontId="9" fillId="0" borderId="0" xfId="0" applyFont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0" xfId="1" applyNumberFormat="1" applyFont="1" applyAlignment="1">
      <alignment horizontal="center"/>
    </xf>
    <xf numFmtId="165" fontId="9" fillId="0" borderId="2" xfId="1" applyNumberFormat="1" applyFont="1" applyBorder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11" fillId="0" borderId="2" xfId="1" applyNumberFormat="1" applyFont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166" fontId="0" fillId="0" borderId="0" xfId="0" applyNumberFormat="1"/>
    <xf numFmtId="166" fontId="11" fillId="0" borderId="0" xfId="0" applyNumberFormat="1" applyFont="1"/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3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72275" cy="7867650"/>
    <xdr:pic>
      <xdr:nvPicPr>
        <xdr:cNvPr id="2" name="image3.png" title="Imagem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161925</xdr:rowOff>
    </xdr:from>
    <xdr:ext cx="15963900" cy="6991350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476250</xdr:colOff>
      <xdr:row>0</xdr:row>
      <xdr:rowOff>0</xdr:rowOff>
    </xdr:from>
    <xdr:ext cx="6867525" cy="7191375"/>
    <xdr:pic>
      <xdr:nvPicPr>
        <xdr:cNvPr id="4" name="image2.png" title="Imagem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95"/>
  <sheetViews>
    <sheetView workbookViewId="0"/>
  </sheetViews>
  <sheetFormatPr defaultColWidth="12.6640625" defaultRowHeight="15" customHeight="1" x14ac:dyDescent="0.25"/>
  <cols>
    <col min="1" max="1" width="24.6640625" customWidth="1"/>
    <col min="2" max="5" width="12.6640625" customWidth="1"/>
  </cols>
  <sheetData>
    <row r="1" spans="1:5" ht="13.2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 spans="1:5" ht="13.2" x14ac:dyDescent="0.25">
      <c r="A2" s="4" t="s">
        <v>5</v>
      </c>
      <c r="B2" s="4">
        <v>2</v>
      </c>
      <c r="C2" s="5" t="s">
        <v>6</v>
      </c>
      <c r="D2" s="6">
        <v>700</v>
      </c>
      <c r="E2" s="7">
        <f t="shared" ref="E2:E15" si="0">D2/220</f>
        <v>3.1818181818181817</v>
      </c>
    </row>
    <row r="3" spans="1:5" ht="13.2" x14ac:dyDescent="0.25">
      <c r="A3" s="4" t="s">
        <v>5</v>
      </c>
      <c r="B3" s="4">
        <v>3</v>
      </c>
      <c r="C3" s="5" t="s">
        <v>7</v>
      </c>
      <c r="D3" s="6">
        <v>1050</v>
      </c>
      <c r="E3" s="7">
        <f t="shared" si="0"/>
        <v>4.7727272727272725</v>
      </c>
    </row>
    <row r="4" spans="1:5" ht="13.2" x14ac:dyDescent="0.25">
      <c r="A4" s="4" t="s">
        <v>8</v>
      </c>
      <c r="B4" s="4">
        <v>1</v>
      </c>
      <c r="C4" s="5" t="s">
        <v>9</v>
      </c>
      <c r="D4" s="6">
        <v>1120</v>
      </c>
      <c r="E4" s="7">
        <f t="shared" si="0"/>
        <v>5.0909090909090908</v>
      </c>
    </row>
    <row r="5" spans="1:5" ht="13.2" x14ac:dyDescent="0.25">
      <c r="A5" s="4" t="s">
        <v>8</v>
      </c>
      <c r="B5" s="4">
        <v>1</v>
      </c>
      <c r="C5" s="5" t="s">
        <v>10</v>
      </c>
      <c r="D5" s="6">
        <v>1120</v>
      </c>
      <c r="E5" s="7">
        <f t="shared" si="0"/>
        <v>5.0909090909090908</v>
      </c>
    </row>
    <row r="6" spans="1:5" ht="13.2" x14ac:dyDescent="0.25">
      <c r="A6" s="4" t="s">
        <v>8</v>
      </c>
      <c r="B6" s="4">
        <v>1</v>
      </c>
      <c r="C6" s="5" t="s">
        <v>11</v>
      </c>
      <c r="D6" s="6">
        <v>1120</v>
      </c>
      <c r="E6" s="7">
        <f t="shared" si="0"/>
        <v>5.0909090909090908</v>
      </c>
    </row>
    <row r="7" spans="1:5" ht="13.2" x14ac:dyDescent="0.25">
      <c r="A7" s="4" t="s">
        <v>8</v>
      </c>
      <c r="B7" s="4">
        <v>1</v>
      </c>
      <c r="C7" s="5" t="s">
        <v>12</v>
      </c>
      <c r="D7" s="6">
        <v>1120</v>
      </c>
      <c r="E7" s="7">
        <f t="shared" si="0"/>
        <v>5.0909090909090908</v>
      </c>
    </row>
    <row r="8" spans="1:5" ht="13.2" x14ac:dyDescent="0.25">
      <c r="A8" s="4" t="s">
        <v>8</v>
      </c>
      <c r="B8" s="4">
        <v>1</v>
      </c>
      <c r="C8" s="5" t="s">
        <v>13</v>
      </c>
      <c r="D8" s="6">
        <v>1120</v>
      </c>
      <c r="E8" s="7">
        <f t="shared" si="0"/>
        <v>5.0909090909090908</v>
      </c>
    </row>
    <row r="9" spans="1:5" ht="13.2" x14ac:dyDescent="0.25">
      <c r="A9" s="4" t="s">
        <v>8</v>
      </c>
      <c r="B9" s="4">
        <v>1</v>
      </c>
      <c r="C9" s="5" t="s">
        <v>14</v>
      </c>
      <c r="D9" s="6">
        <v>1120</v>
      </c>
      <c r="E9" s="7">
        <f t="shared" si="0"/>
        <v>5.0909090909090908</v>
      </c>
    </row>
    <row r="10" spans="1:5" ht="13.2" x14ac:dyDescent="0.25">
      <c r="A10" s="4" t="s">
        <v>15</v>
      </c>
      <c r="B10" s="4">
        <v>1</v>
      </c>
      <c r="C10" s="5" t="s">
        <v>16</v>
      </c>
      <c r="D10" s="6">
        <v>1500</v>
      </c>
      <c r="E10" s="7">
        <f t="shared" si="0"/>
        <v>6.8181818181818183</v>
      </c>
    </row>
    <row r="11" spans="1:5" ht="13.2" x14ac:dyDescent="0.25">
      <c r="A11" s="8" t="s">
        <v>17</v>
      </c>
      <c r="B11" s="8">
        <v>1</v>
      </c>
      <c r="C11" s="5" t="s">
        <v>18</v>
      </c>
      <c r="D11" s="9">
        <v>2200</v>
      </c>
      <c r="E11" s="7">
        <f t="shared" si="0"/>
        <v>10</v>
      </c>
    </row>
    <row r="12" spans="1:5" ht="13.2" x14ac:dyDescent="0.25">
      <c r="A12" s="8" t="s">
        <v>17</v>
      </c>
      <c r="B12" s="8">
        <v>1</v>
      </c>
      <c r="C12" s="5" t="s">
        <v>19</v>
      </c>
      <c r="D12" s="9">
        <v>2200</v>
      </c>
      <c r="E12" s="7">
        <f t="shared" si="0"/>
        <v>10</v>
      </c>
    </row>
    <row r="13" spans="1:5" ht="13.2" x14ac:dyDescent="0.25">
      <c r="A13" s="8" t="s">
        <v>17</v>
      </c>
      <c r="B13" s="8">
        <v>1</v>
      </c>
      <c r="C13" s="5" t="s">
        <v>20</v>
      </c>
      <c r="D13" s="9">
        <v>2200</v>
      </c>
      <c r="E13" s="7">
        <f t="shared" si="0"/>
        <v>10</v>
      </c>
    </row>
    <row r="14" spans="1:5" ht="13.2" x14ac:dyDescent="0.25">
      <c r="A14" s="8" t="s">
        <v>17</v>
      </c>
      <c r="B14" s="8">
        <v>1</v>
      </c>
      <c r="C14" s="5" t="s">
        <v>21</v>
      </c>
      <c r="D14" s="9">
        <v>2200</v>
      </c>
      <c r="E14" s="7">
        <f t="shared" si="0"/>
        <v>10</v>
      </c>
    </row>
    <row r="15" spans="1:5" ht="13.2" x14ac:dyDescent="0.25">
      <c r="A15" s="8" t="s">
        <v>17</v>
      </c>
      <c r="B15" s="8">
        <v>1</v>
      </c>
      <c r="C15" s="5" t="s">
        <v>22</v>
      </c>
      <c r="D15" s="9">
        <v>2200</v>
      </c>
      <c r="E15" s="7">
        <f t="shared" si="0"/>
        <v>10</v>
      </c>
    </row>
    <row r="16" spans="1:5" ht="13.2" x14ac:dyDescent="0.25">
      <c r="A16" s="1" t="s">
        <v>23</v>
      </c>
      <c r="B16" s="10"/>
      <c r="C16" s="10"/>
      <c r="D16" s="10"/>
      <c r="E16" s="11"/>
    </row>
    <row r="17" spans="1:6" ht="13.2" x14ac:dyDescent="0.25">
      <c r="A17" s="4" t="s">
        <v>24</v>
      </c>
      <c r="B17" s="4">
        <v>1</v>
      </c>
      <c r="C17" s="4" t="s">
        <v>25</v>
      </c>
      <c r="D17" s="6">
        <v>3000</v>
      </c>
      <c r="E17" s="7">
        <f t="shared" ref="E17:E27" si="1">D17/220</f>
        <v>13.636363636363637</v>
      </c>
    </row>
    <row r="18" spans="1:6" ht="13.2" x14ac:dyDescent="0.25">
      <c r="A18" s="4" t="s">
        <v>24</v>
      </c>
      <c r="B18" s="4">
        <v>1</v>
      </c>
      <c r="C18" s="4" t="s">
        <v>26</v>
      </c>
      <c r="D18" s="6">
        <v>3000</v>
      </c>
      <c r="E18" s="7">
        <f t="shared" si="1"/>
        <v>13.636363636363637</v>
      </c>
    </row>
    <row r="19" spans="1:6" ht="13.2" x14ac:dyDescent="0.25">
      <c r="A19" s="4" t="s">
        <v>24</v>
      </c>
      <c r="B19" s="4">
        <v>1</v>
      </c>
      <c r="C19" s="4" t="s">
        <v>27</v>
      </c>
      <c r="D19" s="6">
        <v>3000</v>
      </c>
      <c r="E19" s="7">
        <f t="shared" si="1"/>
        <v>13.636363636363637</v>
      </c>
    </row>
    <row r="20" spans="1:6" ht="13.2" x14ac:dyDescent="0.25">
      <c r="A20" s="4" t="s">
        <v>24</v>
      </c>
      <c r="B20" s="4">
        <v>1</v>
      </c>
      <c r="C20" s="4" t="s">
        <v>28</v>
      </c>
      <c r="D20" s="6">
        <v>3000</v>
      </c>
      <c r="E20" s="7">
        <f t="shared" si="1"/>
        <v>13.636363636363637</v>
      </c>
    </row>
    <row r="21" spans="1:6" ht="13.2" x14ac:dyDescent="0.25">
      <c r="A21" s="4" t="s">
        <v>24</v>
      </c>
      <c r="B21" s="4">
        <v>1</v>
      </c>
      <c r="C21" s="4" t="s">
        <v>29</v>
      </c>
      <c r="D21" s="6">
        <v>3000</v>
      </c>
      <c r="E21" s="7">
        <f t="shared" si="1"/>
        <v>13.636363636363637</v>
      </c>
    </row>
    <row r="22" spans="1:6" ht="13.2" x14ac:dyDescent="0.25">
      <c r="A22" s="4" t="s">
        <v>30</v>
      </c>
      <c r="B22" s="4">
        <v>3</v>
      </c>
      <c r="C22" s="4" t="s">
        <v>31</v>
      </c>
      <c r="D22" s="6">
        <v>1350</v>
      </c>
      <c r="E22" s="7">
        <f t="shared" si="1"/>
        <v>6.1363636363636367</v>
      </c>
    </row>
    <row r="23" spans="1:6" ht="13.2" x14ac:dyDescent="0.25">
      <c r="A23" s="4" t="s">
        <v>30</v>
      </c>
      <c r="B23" s="4">
        <v>2</v>
      </c>
      <c r="C23" s="4" t="s">
        <v>32</v>
      </c>
      <c r="D23" s="6">
        <v>900</v>
      </c>
      <c r="E23" s="7">
        <f t="shared" si="1"/>
        <v>4.0909090909090908</v>
      </c>
    </row>
    <row r="24" spans="1:6" ht="13.2" x14ac:dyDescent="0.25">
      <c r="A24" s="4" t="s">
        <v>17</v>
      </c>
      <c r="B24" s="4">
        <v>1</v>
      </c>
      <c r="C24" s="4" t="s">
        <v>33</v>
      </c>
      <c r="D24" s="6">
        <v>2200</v>
      </c>
      <c r="E24" s="7">
        <f t="shared" si="1"/>
        <v>10</v>
      </c>
    </row>
    <row r="25" spans="1:6" ht="13.2" x14ac:dyDescent="0.25">
      <c r="A25" s="4" t="s">
        <v>17</v>
      </c>
      <c r="B25" s="4">
        <v>1</v>
      </c>
      <c r="C25" s="4" t="s">
        <v>34</v>
      </c>
      <c r="D25" s="6">
        <v>2200</v>
      </c>
      <c r="E25" s="7">
        <f t="shared" si="1"/>
        <v>10</v>
      </c>
    </row>
    <row r="26" spans="1:6" ht="13.2" x14ac:dyDescent="0.25">
      <c r="A26" s="4" t="s">
        <v>17</v>
      </c>
      <c r="B26" s="4">
        <v>1</v>
      </c>
      <c r="C26" s="4" t="s">
        <v>35</v>
      </c>
      <c r="D26" s="6">
        <v>2200</v>
      </c>
      <c r="E26" s="7">
        <f t="shared" si="1"/>
        <v>10</v>
      </c>
    </row>
    <row r="27" spans="1:6" ht="13.2" x14ac:dyDescent="0.25">
      <c r="A27" s="4" t="s">
        <v>17</v>
      </c>
      <c r="B27" s="4">
        <v>1</v>
      </c>
      <c r="C27" s="4" t="s">
        <v>36</v>
      </c>
      <c r="D27" s="6">
        <v>2200</v>
      </c>
      <c r="E27" s="7">
        <f t="shared" si="1"/>
        <v>10</v>
      </c>
    </row>
    <row r="28" spans="1:6" ht="13.2" x14ac:dyDescent="0.25">
      <c r="A28" s="1" t="s">
        <v>37</v>
      </c>
      <c r="B28" s="10"/>
      <c r="C28" s="10"/>
      <c r="D28" s="10"/>
      <c r="E28" s="11"/>
    </row>
    <row r="29" spans="1:6" ht="13.2" x14ac:dyDescent="0.25">
      <c r="A29" s="4" t="s">
        <v>38</v>
      </c>
      <c r="B29" s="4">
        <v>2</v>
      </c>
      <c r="C29" s="4" t="s">
        <v>39</v>
      </c>
      <c r="D29" s="6">
        <v>1140</v>
      </c>
      <c r="E29" s="7">
        <f t="shared" ref="E29:E58" si="2">D29/220</f>
        <v>5.1818181818181817</v>
      </c>
      <c r="F29" s="4"/>
    </row>
    <row r="30" spans="1:6" ht="13.2" x14ac:dyDescent="0.25">
      <c r="A30" s="4" t="s">
        <v>40</v>
      </c>
      <c r="B30" s="4">
        <v>1</v>
      </c>
      <c r="C30" s="4" t="s">
        <v>41</v>
      </c>
      <c r="D30" s="6">
        <v>9000</v>
      </c>
      <c r="E30" s="7">
        <f t="shared" si="2"/>
        <v>40.909090909090907</v>
      </c>
      <c r="F30" s="4"/>
    </row>
    <row r="31" spans="1:6" ht="13.2" x14ac:dyDescent="0.25">
      <c r="A31" s="4" t="s">
        <v>40</v>
      </c>
      <c r="B31" s="4">
        <v>1</v>
      </c>
      <c r="C31" s="4" t="s">
        <v>42</v>
      </c>
      <c r="D31" s="6">
        <v>9000</v>
      </c>
      <c r="E31" s="7">
        <f t="shared" si="2"/>
        <v>40.909090909090907</v>
      </c>
      <c r="F31" s="4"/>
    </row>
    <row r="32" spans="1:6" ht="13.2" x14ac:dyDescent="0.25">
      <c r="A32" s="4" t="s">
        <v>40</v>
      </c>
      <c r="B32" s="4">
        <v>1</v>
      </c>
      <c r="C32" s="4" t="s">
        <v>43</v>
      </c>
      <c r="D32" s="6">
        <v>9000</v>
      </c>
      <c r="E32" s="7">
        <f t="shared" si="2"/>
        <v>40.909090909090907</v>
      </c>
      <c r="F32" s="4"/>
    </row>
    <row r="33" spans="1:6" ht="13.2" x14ac:dyDescent="0.25">
      <c r="A33" s="4" t="s">
        <v>40</v>
      </c>
      <c r="B33" s="4">
        <v>1</v>
      </c>
      <c r="C33" s="4" t="s">
        <v>44</v>
      </c>
      <c r="D33" s="6">
        <v>9000</v>
      </c>
      <c r="E33" s="7">
        <f t="shared" si="2"/>
        <v>40.909090909090907</v>
      </c>
      <c r="F33" s="4"/>
    </row>
    <row r="34" spans="1:6" ht="13.2" x14ac:dyDescent="0.25">
      <c r="A34" s="4" t="s">
        <v>45</v>
      </c>
      <c r="B34" s="4">
        <v>1</v>
      </c>
      <c r="C34" s="4" t="s">
        <v>46</v>
      </c>
      <c r="D34" s="6">
        <v>4000</v>
      </c>
      <c r="E34" s="7">
        <f t="shared" si="2"/>
        <v>18.181818181818183</v>
      </c>
      <c r="F34" s="4"/>
    </row>
    <row r="35" spans="1:6" ht="13.2" x14ac:dyDescent="0.25">
      <c r="A35" s="4" t="s">
        <v>45</v>
      </c>
      <c r="B35" s="4">
        <v>1</v>
      </c>
      <c r="C35" s="4" t="s">
        <v>47</v>
      </c>
      <c r="D35" s="6">
        <v>4000</v>
      </c>
      <c r="E35" s="7">
        <f t="shared" si="2"/>
        <v>18.181818181818183</v>
      </c>
      <c r="F35" s="4"/>
    </row>
    <row r="36" spans="1:6" ht="13.2" x14ac:dyDescent="0.25">
      <c r="A36" s="4" t="s">
        <v>45</v>
      </c>
      <c r="B36" s="4">
        <v>1</v>
      </c>
      <c r="C36" s="4" t="s">
        <v>48</v>
      </c>
      <c r="D36" s="6">
        <v>4000</v>
      </c>
      <c r="E36" s="7">
        <f t="shared" si="2"/>
        <v>18.181818181818183</v>
      </c>
      <c r="F36" s="4"/>
    </row>
    <row r="37" spans="1:6" ht="13.2" x14ac:dyDescent="0.25">
      <c r="A37" s="4" t="s">
        <v>45</v>
      </c>
      <c r="B37" s="4">
        <v>1</v>
      </c>
      <c r="C37" s="4" t="s">
        <v>49</v>
      </c>
      <c r="D37" s="6">
        <v>4000</v>
      </c>
      <c r="E37" s="7">
        <f t="shared" si="2"/>
        <v>18.181818181818183</v>
      </c>
      <c r="F37" s="4"/>
    </row>
    <row r="38" spans="1:6" ht="13.2" x14ac:dyDescent="0.25">
      <c r="A38" s="4" t="s">
        <v>50</v>
      </c>
      <c r="B38" s="4">
        <v>1</v>
      </c>
      <c r="C38" s="4" t="s">
        <v>51</v>
      </c>
      <c r="D38" s="6">
        <v>70000</v>
      </c>
      <c r="E38" s="7">
        <f t="shared" si="2"/>
        <v>318.18181818181819</v>
      </c>
      <c r="F38" s="4"/>
    </row>
    <row r="39" spans="1:6" ht="13.2" x14ac:dyDescent="0.25">
      <c r="A39" s="4" t="s">
        <v>52</v>
      </c>
      <c r="B39" s="4">
        <v>5</v>
      </c>
      <c r="C39" s="4" t="s">
        <v>53</v>
      </c>
      <c r="D39" s="6">
        <v>1080</v>
      </c>
      <c r="E39" s="7">
        <f t="shared" si="2"/>
        <v>4.9090909090909092</v>
      </c>
      <c r="F39" s="4"/>
    </row>
    <row r="40" spans="1:6" ht="13.2" x14ac:dyDescent="0.25">
      <c r="A40" s="4" t="s">
        <v>52</v>
      </c>
      <c r="B40" s="4">
        <v>2</v>
      </c>
      <c r="C40" s="4" t="s">
        <v>54</v>
      </c>
      <c r="D40" s="6">
        <v>720</v>
      </c>
      <c r="E40" s="7">
        <f t="shared" si="2"/>
        <v>3.2727272727272729</v>
      </c>
      <c r="F40" s="4"/>
    </row>
    <row r="41" spans="1:6" ht="13.2" x14ac:dyDescent="0.25">
      <c r="A41" s="4" t="s">
        <v>55</v>
      </c>
      <c r="B41" s="4">
        <v>3</v>
      </c>
      <c r="C41" s="4" t="s">
        <v>56</v>
      </c>
      <c r="D41" s="4">
        <v>2400</v>
      </c>
      <c r="E41" s="7">
        <f t="shared" si="2"/>
        <v>10.909090909090908</v>
      </c>
      <c r="F41" s="4"/>
    </row>
    <row r="42" spans="1:6" ht="13.2" x14ac:dyDescent="0.25">
      <c r="A42" s="4" t="s">
        <v>55</v>
      </c>
      <c r="B42" s="4">
        <v>2</v>
      </c>
      <c r="C42" s="4" t="s">
        <v>57</v>
      </c>
      <c r="D42" s="4">
        <v>1600</v>
      </c>
      <c r="E42" s="7">
        <f t="shared" si="2"/>
        <v>7.2727272727272725</v>
      </c>
      <c r="F42" s="4"/>
    </row>
    <row r="43" spans="1:6" ht="13.2" x14ac:dyDescent="0.25">
      <c r="A43" s="4" t="s">
        <v>58</v>
      </c>
      <c r="B43" s="4">
        <v>5</v>
      </c>
      <c r="C43" s="4" t="s">
        <v>59</v>
      </c>
      <c r="D43" s="6">
        <v>1000</v>
      </c>
      <c r="E43" s="7">
        <f t="shared" si="2"/>
        <v>4.5454545454545459</v>
      </c>
      <c r="F43" s="4"/>
    </row>
    <row r="44" spans="1:6" ht="13.2" x14ac:dyDescent="0.25">
      <c r="A44" s="4" t="s">
        <v>60</v>
      </c>
      <c r="B44" s="4">
        <v>1</v>
      </c>
      <c r="C44" s="4" t="s">
        <v>61</v>
      </c>
      <c r="D44" s="6">
        <v>1000</v>
      </c>
      <c r="E44" s="7">
        <f t="shared" si="2"/>
        <v>4.5454545454545459</v>
      </c>
      <c r="F44" s="4"/>
    </row>
    <row r="45" spans="1:6" ht="13.2" x14ac:dyDescent="0.25">
      <c r="A45" s="4" t="s">
        <v>60</v>
      </c>
      <c r="B45" s="4">
        <v>1</v>
      </c>
      <c r="C45" s="4" t="s">
        <v>62</v>
      </c>
      <c r="D45" s="6">
        <v>1000</v>
      </c>
      <c r="E45" s="7">
        <f t="shared" si="2"/>
        <v>4.5454545454545459</v>
      </c>
      <c r="F45" s="4"/>
    </row>
    <row r="46" spans="1:6" ht="13.2" x14ac:dyDescent="0.25">
      <c r="A46" s="4" t="s">
        <v>60</v>
      </c>
      <c r="B46" s="4">
        <v>1</v>
      </c>
      <c r="C46" s="4" t="s">
        <v>63</v>
      </c>
      <c r="D46" s="6">
        <v>1000</v>
      </c>
      <c r="E46" s="7">
        <f t="shared" si="2"/>
        <v>4.5454545454545459</v>
      </c>
      <c r="F46" s="4"/>
    </row>
    <row r="47" spans="1:6" ht="13.2" x14ac:dyDescent="0.25">
      <c r="A47" s="4" t="s">
        <v>64</v>
      </c>
      <c r="B47" s="4">
        <v>3</v>
      </c>
      <c r="C47" s="4" t="s">
        <v>65</v>
      </c>
      <c r="D47" s="6">
        <v>1380</v>
      </c>
      <c r="E47" s="7">
        <f t="shared" si="2"/>
        <v>6.2727272727272725</v>
      </c>
      <c r="F47" s="4"/>
    </row>
    <row r="48" spans="1:6" ht="13.2" x14ac:dyDescent="0.25">
      <c r="A48" s="4" t="s">
        <v>64</v>
      </c>
      <c r="B48" s="4">
        <v>2</v>
      </c>
      <c r="C48" s="4" t="s">
        <v>66</v>
      </c>
      <c r="D48" s="6">
        <v>920</v>
      </c>
      <c r="E48" s="7">
        <f t="shared" si="2"/>
        <v>4.1818181818181817</v>
      </c>
      <c r="F48" s="4"/>
    </row>
    <row r="49" spans="1:6" ht="13.2" x14ac:dyDescent="0.25">
      <c r="A49" s="4" t="s">
        <v>67</v>
      </c>
      <c r="B49" s="4">
        <v>4</v>
      </c>
      <c r="C49" s="4" t="s">
        <v>68</v>
      </c>
      <c r="D49" s="4">
        <v>740</v>
      </c>
      <c r="E49" s="7">
        <f t="shared" si="2"/>
        <v>3.3636363636363638</v>
      </c>
      <c r="F49" s="4"/>
    </row>
    <row r="50" spans="1:6" ht="13.2" x14ac:dyDescent="0.25">
      <c r="A50" s="4" t="s">
        <v>69</v>
      </c>
      <c r="B50" s="4">
        <v>1</v>
      </c>
      <c r="C50" s="4" t="s">
        <v>70</v>
      </c>
      <c r="D50" s="6">
        <v>2184</v>
      </c>
      <c r="E50" s="7">
        <f t="shared" si="2"/>
        <v>9.9272727272727277</v>
      </c>
      <c r="F50" s="4"/>
    </row>
    <row r="51" spans="1:6" ht="13.2" x14ac:dyDescent="0.25">
      <c r="A51" s="4" t="s">
        <v>69</v>
      </c>
      <c r="B51" s="4">
        <v>1</v>
      </c>
      <c r="C51" s="4" t="s">
        <v>71</v>
      </c>
      <c r="D51" s="6">
        <v>2184</v>
      </c>
      <c r="E51" s="7">
        <f t="shared" si="2"/>
        <v>9.9272727272727277</v>
      </c>
      <c r="F51" s="4"/>
    </row>
    <row r="52" spans="1:6" ht="13.2" x14ac:dyDescent="0.25">
      <c r="A52" s="4" t="s">
        <v>72</v>
      </c>
      <c r="B52" s="4">
        <v>1</v>
      </c>
      <c r="C52" s="4" t="s">
        <v>73</v>
      </c>
      <c r="D52" s="6">
        <v>2200</v>
      </c>
      <c r="E52" s="7">
        <f t="shared" si="2"/>
        <v>10</v>
      </c>
    </row>
    <row r="53" spans="1:6" ht="13.2" x14ac:dyDescent="0.25">
      <c r="A53" s="4" t="s">
        <v>72</v>
      </c>
      <c r="B53" s="4">
        <v>1</v>
      </c>
      <c r="C53" s="4" t="s">
        <v>74</v>
      </c>
      <c r="D53" s="6">
        <v>2200</v>
      </c>
      <c r="E53" s="7">
        <f t="shared" si="2"/>
        <v>10</v>
      </c>
    </row>
    <row r="54" spans="1:6" ht="13.2" x14ac:dyDescent="0.25">
      <c r="A54" s="4" t="s">
        <v>72</v>
      </c>
      <c r="B54" s="4">
        <v>1</v>
      </c>
      <c r="C54" s="4" t="s">
        <v>75</v>
      </c>
      <c r="D54" s="6">
        <v>2200</v>
      </c>
      <c r="E54" s="7">
        <f t="shared" si="2"/>
        <v>10</v>
      </c>
    </row>
    <row r="55" spans="1:6" ht="13.2" x14ac:dyDescent="0.25">
      <c r="A55" s="4" t="s">
        <v>72</v>
      </c>
      <c r="B55" s="4">
        <v>1</v>
      </c>
      <c r="C55" s="4" t="s">
        <v>76</v>
      </c>
      <c r="D55" s="6">
        <v>2200</v>
      </c>
      <c r="E55" s="7">
        <f t="shared" si="2"/>
        <v>10</v>
      </c>
    </row>
    <row r="56" spans="1:6" ht="13.2" x14ac:dyDescent="0.25">
      <c r="A56" s="4" t="s">
        <v>72</v>
      </c>
      <c r="B56" s="4">
        <v>1</v>
      </c>
      <c r="C56" s="4" t="s">
        <v>77</v>
      </c>
      <c r="D56" s="6">
        <v>2200</v>
      </c>
      <c r="E56" s="7">
        <f t="shared" si="2"/>
        <v>10</v>
      </c>
    </row>
    <row r="57" spans="1:6" ht="13.2" x14ac:dyDescent="0.25">
      <c r="A57" s="4" t="s">
        <v>72</v>
      </c>
      <c r="B57" s="4">
        <v>1</v>
      </c>
      <c r="C57" s="4" t="s">
        <v>78</v>
      </c>
      <c r="D57" s="6">
        <v>2200</v>
      </c>
      <c r="E57" s="7">
        <f t="shared" si="2"/>
        <v>10</v>
      </c>
    </row>
    <row r="58" spans="1:6" ht="13.2" x14ac:dyDescent="0.25">
      <c r="A58" s="4" t="s">
        <v>72</v>
      </c>
      <c r="B58" s="4">
        <v>1</v>
      </c>
      <c r="C58" s="4" t="s">
        <v>79</v>
      </c>
      <c r="D58" s="6">
        <v>2200</v>
      </c>
      <c r="E58" s="7">
        <f t="shared" si="2"/>
        <v>10</v>
      </c>
    </row>
    <row r="59" spans="1:6" ht="13.2" x14ac:dyDescent="0.25">
      <c r="A59" s="1" t="s">
        <v>80</v>
      </c>
      <c r="B59" s="10"/>
      <c r="C59" s="10"/>
      <c r="D59" s="10"/>
      <c r="E59" s="11"/>
    </row>
    <row r="60" spans="1:6" ht="13.2" x14ac:dyDescent="0.25">
      <c r="A60" s="4" t="s">
        <v>81</v>
      </c>
      <c r="B60" s="4">
        <v>6</v>
      </c>
      <c r="C60" s="4" t="s">
        <v>82</v>
      </c>
      <c r="D60" s="4">
        <v>900</v>
      </c>
      <c r="E60" s="7">
        <f t="shared" ref="E60:E84" si="3">D60/220</f>
        <v>4.0909090909090908</v>
      </c>
    </row>
    <row r="61" spans="1:6" ht="13.2" x14ac:dyDescent="0.25">
      <c r="A61" s="4" t="s">
        <v>83</v>
      </c>
      <c r="B61" s="4">
        <v>1</v>
      </c>
      <c r="C61" s="4" t="s">
        <v>84</v>
      </c>
      <c r="D61" s="6">
        <v>10725</v>
      </c>
      <c r="E61" s="7">
        <f t="shared" si="3"/>
        <v>48.75</v>
      </c>
    </row>
    <row r="62" spans="1:6" ht="13.2" x14ac:dyDescent="0.25">
      <c r="A62" s="4" t="s">
        <v>83</v>
      </c>
      <c r="B62" s="4">
        <v>1</v>
      </c>
      <c r="C62" s="4" t="s">
        <v>85</v>
      </c>
      <c r="D62" s="6">
        <v>10725</v>
      </c>
      <c r="E62" s="7">
        <f t="shared" si="3"/>
        <v>48.75</v>
      </c>
    </row>
    <row r="63" spans="1:6" ht="13.2" x14ac:dyDescent="0.25">
      <c r="A63" s="4" t="s">
        <v>83</v>
      </c>
      <c r="B63" s="4">
        <v>1</v>
      </c>
      <c r="C63" s="4" t="s">
        <v>86</v>
      </c>
      <c r="D63" s="6">
        <v>10725</v>
      </c>
      <c r="E63" s="7">
        <f t="shared" si="3"/>
        <v>48.75</v>
      </c>
    </row>
    <row r="64" spans="1:6" ht="13.2" x14ac:dyDescent="0.25">
      <c r="A64" s="4" t="s">
        <v>83</v>
      </c>
      <c r="B64" s="4">
        <v>1</v>
      </c>
      <c r="C64" s="4" t="s">
        <v>87</v>
      </c>
      <c r="D64" s="6">
        <v>10725</v>
      </c>
      <c r="E64" s="7">
        <f t="shared" si="3"/>
        <v>48.75</v>
      </c>
    </row>
    <row r="65" spans="1:5" ht="13.2" x14ac:dyDescent="0.25">
      <c r="A65" s="4" t="s">
        <v>83</v>
      </c>
      <c r="B65" s="4">
        <v>1</v>
      </c>
      <c r="C65" s="4" t="s">
        <v>88</v>
      </c>
      <c r="D65" s="6">
        <v>10725</v>
      </c>
      <c r="E65" s="7">
        <f t="shared" si="3"/>
        <v>48.75</v>
      </c>
    </row>
    <row r="66" spans="1:5" ht="13.2" x14ac:dyDescent="0.25">
      <c r="A66" s="4" t="s">
        <v>83</v>
      </c>
      <c r="B66" s="4">
        <v>1</v>
      </c>
      <c r="C66" s="4" t="s">
        <v>89</v>
      </c>
      <c r="D66" s="6">
        <v>10725</v>
      </c>
      <c r="E66" s="7">
        <f t="shared" si="3"/>
        <v>48.75</v>
      </c>
    </row>
    <row r="67" spans="1:5" ht="13.2" x14ac:dyDescent="0.25">
      <c r="A67" s="4" t="s">
        <v>90</v>
      </c>
      <c r="B67" s="4">
        <v>1</v>
      </c>
      <c r="C67" s="4" t="s">
        <v>91</v>
      </c>
      <c r="D67" s="6">
        <v>1000</v>
      </c>
      <c r="E67" s="7">
        <f t="shared" si="3"/>
        <v>4.5454545454545459</v>
      </c>
    </row>
    <row r="68" spans="1:5" ht="13.2" x14ac:dyDescent="0.25">
      <c r="A68" s="4" t="s">
        <v>90</v>
      </c>
      <c r="B68" s="4">
        <v>1</v>
      </c>
      <c r="C68" s="4" t="s">
        <v>92</v>
      </c>
      <c r="D68" s="6">
        <v>1000</v>
      </c>
      <c r="E68" s="7">
        <f t="shared" si="3"/>
        <v>4.5454545454545459</v>
      </c>
    </row>
    <row r="69" spans="1:5" ht="13.2" x14ac:dyDescent="0.25">
      <c r="A69" s="4" t="s">
        <v>90</v>
      </c>
      <c r="B69" s="4">
        <v>1</v>
      </c>
      <c r="C69" s="4" t="s">
        <v>93</v>
      </c>
      <c r="D69" s="6">
        <v>1000</v>
      </c>
      <c r="E69" s="7">
        <f t="shared" si="3"/>
        <v>4.5454545454545459</v>
      </c>
    </row>
    <row r="70" spans="1:5" ht="13.2" x14ac:dyDescent="0.25">
      <c r="A70" s="4" t="s">
        <v>90</v>
      </c>
      <c r="B70" s="4">
        <v>1</v>
      </c>
      <c r="C70" s="4" t="s">
        <v>94</v>
      </c>
      <c r="D70" s="6">
        <v>1000</v>
      </c>
      <c r="E70" s="7">
        <f t="shared" si="3"/>
        <v>4.5454545454545459</v>
      </c>
    </row>
    <row r="71" spans="1:5" ht="13.2" x14ac:dyDescent="0.25">
      <c r="A71" s="4" t="s">
        <v>90</v>
      </c>
      <c r="B71" s="4">
        <v>1</v>
      </c>
      <c r="C71" s="4" t="s">
        <v>95</v>
      </c>
      <c r="D71" s="6">
        <v>1000</v>
      </c>
      <c r="E71" s="7">
        <f t="shared" si="3"/>
        <v>4.5454545454545459</v>
      </c>
    </row>
    <row r="72" spans="1:5" ht="13.2" x14ac:dyDescent="0.25">
      <c r="A72" s="4" t="s">
        <v>90</v>
      </c>
      <c r="B72" s="4">
        <v>1</v>
      </c>
      <c r="C72" s="4" t="s">
        <v>96</v>
      </c>
      <c r="D72" s="6">
        <v>1000</v>
      </c>
      <c r="E72" s="7">
        <f t="shared" si="3"/>
        <v>4.5454545454545459</v>
      </c>
    </row>
    <row r="73" spans="1:5" ht="13.2" x14ac:dyDescent="0.25">
      <c r="A73" s="4" t="s">
        <v>69</v>
      </c>
      <c r="B73" s="4">
        <v>1</v>
      </c>
      <c r="C73" s="4" t="s">
        <v>97</v>
      </c>
      <c r="D73" s="6">
        <v>2184</v>
      </c>
      <c r="E73" s="7">
        <f t="shared" si="3"/>
        <v>9.9272727272727277</v>
      </c>
    </row>
    <row r="74" spans="1:5" ht="13.2" x14ac:dyDescent="0.25">
      <c r="A74" s="4" t="s">
        <v>69</v>
      </c>
      <c r="B74" s="4">
        <v>1</v>
      </c>
      <c r="C74" s="4" t="s">
        <v>98</v>
      </c>
      <c r="D74" s="6">
        <v>2184</v>
      </c>
      <c r="E74" s="7">
        <f t="shared" si="3"/>
        <v>9.9272727272727277</v>
      </c>
    </row>
    <row r="75" spans="1:5" ht="13.2" x14ac:dyDescent="0.25">
      <c r="A75" s="4" t="s">
        <v>69</v>
      </c>
      <c r="B75" s="4">
        <v>1</v>
      </c>
      <c r="C75" s="4" t="s">
        <v>99</v>
      </c>
      <c r="D75" s="6">
        <v>2184</v>
      </c>
      <c r="E75" s="7">
        <f t="shared" si="3"/>
        <v>9.9272727272727277</v>
      </c>
    </row>
    <row r="76" spans="1:5" ht="13.2" x14ac:dyDescent="0.25">
      <c r="A76" s="4" t="s">
        <v>69</v>
      </c>
      <c r="B76" s="4">
        <v>1</v>
      </c>
      <c r="C76" s="4" t="s">
        <v>100</v>
      </c>
      <c r="D76" s="6">
        <v>2184</v>
      </c>
      <c r="E76" s="7">
        <f t="shared" si="3"/>
        <v>9.9272727272727277</v>
      </c>
    </row>
    <row r="77" spans="1:5" ht="13.2" x14ac:dyDescent="0.25">
      <c r="A77" s="4" t="s">
        <v>72</v>
      </c>
      <c r="B77" s="4">
        <v>1</v>
      </c>
      <c r="C77" s="4" t="s">
        <v>101</v>
      </c>
      <c r="D77" s="6">
        <v>2200</v>
      </c>
      <c r="E77" s="7">
        <f t="shared" si="3"/>
        <v>10</v>
      </c>
    </row>
    <row r="78" spans="1:5" ht="13.2" x14ac:dyDescent="0.25">
      <c r="A78" s="4" t="s">
        <v>72</v>
      </c>
      <c r="B78" s="4">
        <v>1</v>
      </c>
      <c r="C78" s="4" t="s">
        <v>102</v>
      </c>
      <c r="D78" s="6">
        <v>2200</v>
      </c>
      <c r="E78" s="7">
        <f t="shared" si="3"/>
        <v>10</v>
      </c>
    </row>
    <row r="79" spans="1:5" ht="13.2" x14ac:dyDescent="0.25">
      <c r="A79" s="4" t="s">
        <v>72</v>
      </c>
      <c r="B79" s="4">
        <v>1</v>
      </c>
      <c r="C79" s="4" t="s">
        <v>103</v>
      </c>
      <c r="D79" s="6">
        <v>2200</v>
      </c>
      <c r="E79" s="7">
        <f t="shared" si="3"/>
        <v>10</v>
      </c>
    </row>
    <row r="80" spans="1:5" ht="13.2" x14ac:dyDescent="0.25">
      <c r="A80" s="4" t="s">
        <v>72</v>
      </c>
      <c r="B80" s="4">
        <v>1</v>
      </c>
      <c r="C80" s="4" t="s">
        <v>104</v>
      </c>
      <c r="D80" s="6">
        <v>2200</v>
      </c>
      <c r="E80" s="7">
        <f t="shared" si="3"/>
        <v>10</v>
      </c>
    </row>
    <row r="81" spans="1:5" ht="13.2" x14ac:dyDescent="0.25">
      <c r="A81" s="4" t="s">
        <v>72</v>
      </c>
      <c r="B81" s="4">
        <v>1</v>
      </c>
      <c r="C81" s="4" t="s">
        <v>105</v>
      </c>
      <c r="D81" s="6">
        <v>2200</v>
      </c>
      <c r="E81" s="7">
        <f t="shared" si="3"/>
        <v>10</v>
      </c>
    </row>
    <row r="82" spans="1:5" ht="13.2" x14ac:dyDescent="0.25">
      <c r="A82" s="4" t="s">
        <v>72</v>
      </c>
      <c r="B82" s="4">
        <v>1</v>
      </c>
      <c r="C82" s="4" t="s">
        <v>106</v>
      </c>
      <c r="D82" s="6">
        <v>2200</v>
      </c>
      <c r="E82" s="7">
        <f t="shared" si="3"/>
        <v>10</v>
      </c>
    </row>
    <row r="83" spans="1:5" ht="13.2" x14ac:dyDescent="0.25">
      <c r="A83" s="4" t="s">
        <v>72</v>
      </c>
      <c r="B83" s="4">
        <v>1</v>
      </c>
      <c r="C83" s="4" t="s">
        <v>107</v>
      </c>
      <c r="D83" s="6">
        <v>2200</v>
      </c>
      <c r="E83" s="7">
        <f t="shared" si="3"/>
        <v>10</v>
      </c>
    </row>
    <row r="84" spans="1:5" ht="13.2" x14ac:dyDescent="0.25">
      <c r="A84" s="4" t="s">
        <v>72</v>
      </c>
      <c r="B84" s="4">
        <v>1</v>
      </c>
      <c r="C84" s="4" t="s">
        <v>108</v>
      </c>
      <c r="D84" s="6">
        <v>2200</v>
      </c>
      <c r="E84" s="7">
        <f t="shared" si="3"/>
        <v>10</v>
      </c>
    </row>
    <row r="85" spans="1:5" ht="13.5" customHeight="1" x14ac:dyDescent="0.25">
      <c r="A85" s="1" t="s">
        <v>109</v>
      </c>
      <c r="B85" s="10"/>
      <c r="C85" s="10"/>
      <c r="D85" s="10"/>
      <c r="E85" s="11"/>
    </row>
    <row r="86" spans="1:5" ht="13.2" x14ac:dyDescent="0.25">
      <c r="A86" s="4" t="s">
        <v>110</v>
      </c>
      <c r="B86" s="4">
        <v>1</v>
      </c>
      <c r="C86" s="4" t="s">
        <v>111</v>
      </c>
      <c r="D86" s="6">
        <v>4000</v>
      </c>
      <c r="E86" s="7">
        <f t="shared" ref="E86:E105" si="4">D86/220</f>
        <v>18.181818181818183</v>
      </c>
    </row>
    <row r="87" spans="1:5" ht="13.2" x14ac:dyDescent="0.25">
      <c r="A87" s="4" t="s">
        <v>110</v>
      </c>
      <c r="B87" s="4">
        <v>1</v>
      </c>
      <c r="C87" s="4" t="s">
        <v>112</v>
      </c>
      <c r="D87" s="6">
        <v>4000</v>
      </c>
      <c r="E87" s="7">
        <f t="shared" si="4"/>
        <v>18.181818181818183</v>
      </c>
    </row>
    <row r="88" spans="1:5" ht="13.2" x14ac:dyDescent="0.25">
      <c r="A88" s="4" t="s">
        <v>110</v>
      </c>
      <c r="B88" s="4">
        <v>1</v>
      </c>
      <c r="C88" s="4" t="s">
        <v>113</v>
      </c>
      <c r="D88" s="6">
        <v>4000</v>
      </c>
      <c r="E88" s="7">
        <f t="shared" si="4"/>
        <v>18.181818181818183</v>
      </c>
    </row>
    <row r="89" spans="1:5" ht="13.2" x14ac:dyDescent="0.25">
      <c r="A89" s="4" t="s">
        <v>110</v>
      </c>
      <c r="B89" s="4">
        <v>1</v>
      </c>
      <c r="C89" s="4" t="s">
        <v>114</v>
      </c>
      <c r="D89" s="6">
        <v>4000</v>
      </c>
      <c r="E89" s="7">
        <f t="shared" si="4"/>
        <v>18.181818181818183</v>
      </c>
    </row>
    <row r="90" spans="1:5" ht="13.2" x14ac:dyDescent="0.25">
      <c r="A90" s="4" t="s">
        <v>110</v>
      </c>
      <c r="B90" s="4">
        <v>1</v>
      </c>
      <c r="C90" s="4" t="s">
        <v>115</v>
      </c>
      <c r="D90" s="6">
        <v>4000</v>
      </c>
      <c r="E90" s="7">
        <f t="shared" si="4"/>
        <v>18.181818181818183</v>
      </c>
    </row>
    <row r="91" spans="1:5" ht="13.2" x14ac:dyDescent="0.25">
      <c r="A91" s="4" t="s">
        <v>110</v>
      </c>
      <c r="B91" s="4">
        <v>1</v>
      </c>
      <c r="C91" s="4" t="s">
        <v>116</v>
      </c>
      <c r="D91" s="6">
        <v>4000</v>
      </c>
      <c r="E91" s="7">
        <f t="shared" si="4"/>
        <v>18.181818181818183</v>
      </c>
    </row>
    <row r="92" spans="1:5" ht="13.2" x14ac:dyDescent="0.25">
      <c r="A92" s="4" t="s">
        <v>110</v>
      </c>
      <c r="B92" s="4">
        <v>1</v>
      </c>
      <c r="C92" s="4" t="s">
        <v>117</v>
      </c>
      <c r="D92" s="6">
        <v>4000</v>
      </c>
      <c r="E92" s="7">
        <f t="shared" si="4"/>
        <v>18.181818181818183</v>
      </c>
    </row>
    <row r="93" spans="1:5" ht="13.2" x14ac:dyDescent="0.25">
      <c r="A93" s="4" t="s">
        <v>110</v>
      </c>
      <c r="B93" s="4">
        <v>1</v>
      </c>
      <c r="C93" s="4" t="s">
        <v>118</v>
      </c>
      <c r="D93" s="6">
        <v>4000</v>
      </c>
      <c r="E93" s="7">
        <f t="shared" si="4"/>
        <v>18.181818181818183</v>
      </c>
    </row>
    <row r="94" spans="1:5" ht="13.2" x14ac:dyDescent="0.25">
      <c r="A94" s="4" t="s">
        <v>110</v>
      </c>
      <c r="B94" s="4">
        <v>1</v>
      </c>
      <c r="C94" s="4" t="s">
        <v>119</v>
      </c>
      <c r="D94" s="6">
        <v>4000</v>
      </c>
      <c r="E94" s="7">
        <f t="shared" si="4"/>
        <v>18.181818181818183</v>
      </c>
    </row>
    <row r="95" spans="1:5" ht="13.2" x14ac:dyDescent="0.25">
      <c r="A95" s="4" t="s">
        <v>110</v>
      </c>
      <c r="B95" s="4">
        <v>1</v>
      </c>
      <c r="C95" s="4" t="s">
        <v>120</v>
      </c>
      <c r="D95" s="6">
        <v>4000</v>
      </c>
      <c r="E95" s="7">
        <f t="shared" si="4"/>
        <v>18.181818181818183</v>
      </c>
    </row>
    <row r="96" spans="1:5" ht="13.2" x14ac:dyDescent="0.25">
      <c r="A96" s="4" t="s">
        <v>110</v>
      </c>
      <c r="B96" s="4">
        <v>1</v>
      </c>
      <c r="C96" s="4" t="s">
        <v>121</v>
      </c>
      <c r="D96" s="6">
        <v>4000</v>
      </c>
      <c r="E96" s="7">
        <f t="shared" si="4"/>
        <v>18.181818181818183</v>
      </c>
    </row>
    <row r="97" spans="1:5" ht="13.2" x14ac:dyDescent="0.25">
      <c r="A97" s="4" t="s">
        <v>110</v>
      </c>
      <c r="B97" s="4">
        <v>1</v>
      </c>
      <c r="C97" s="4" t="s">
        <v>122</v>
      </c>
      <c r="D97" s="6">
        <v>4000</v>
      </c>
      <c r="E97" s="7">
        <f t="shared" si="4"/>
        <v>18.181818181818183</v>
      </c>
    </row>
    <row r="98" spans="1:5" ht="13.2" x14ac:dyDescent="0.25">
      <c r="A98" s="4" t="s">
        <v>110</v>
      </c>
      <c r="B98" s="4">
        <v>1</v>
      </c>
      <c r="C98" s="4" t="s">
        <v>123</v>
      </c>
      <c r="D98" s="6">
        <v>4000</v>
      </c>
      <c r="E98" s="7">
        <f t="shared" si="4"/>
        <v>18.181818181818183</v>
      </c>
    </row>
    <row r="99" spans="1:5" ht="13.2" x14ac:dyDescent="0.25">
      <c r="A99" s="4" t="s">
        <v>110</v>
      </c>
      <c r="B99" s="4">
        <v>1</v>
      </c>
      <c r="C99" s="4" t="s">
        <v>124</v>
      </c>
      <c r="D99" s="6">
        <v>4000</v>
      </c>
      <c r="E99" s="7">
        <f t="shared" si="4"/>
        <v>18.181818181818183</v>
      </c>
    </row>
    <row r="100" spans="1:5" ht="13.2" x14ac:dyDescent="0.25">
      <c r="A100" s="4" t="s">
        <v>110</v>
      </c>
      <c r="B100" s="4">
        <v>1</v>
      </c>
      <c r="C100" s="4" t="s">
        <v>125</v>
      </c>
      <c r="D100" s="6">
        <v>4000</v>
      </c>
      <c r="E100" s="7">
        <f t="shared" si="4"/>
        <v>18.181818181818183</v>
      </c>
    </row>
    <row r="101" spans="1:5" ht="13.2" x14ac:dyDescent="0.25">
      <c r="A101" s="4" t="s">
        <v>72</v>
      </c>
      <c r="B101" s="4">
        <v>1</v>
      </c>
      <c r="C101" s="4" t="s">
        <v>126</v>
      </c>
      <c r="D101" s="6">
        <v>2200</v>
      </c>
      <c r="E101" s="7">
        <f t="shared" si="4"/>
        <v>10</v>
      </c>
    </row>
    <row r="102" spans="1:5" ht="13.2" x14ac:dyDescent="0.25">
      <c r="A102" s="4" t="s">
        <v>72</v>
      </c>
      <c r="B102" s="4">
        <v>1</v>
      </c>
      <c r="C102" s="4" t="s">
        <v>127</v>
      </c>
      <c r="D102" s="6">
        <v>2200</v>
      </c>
      <c r="E102" s="7">
        <f t="shared" si="4"/>
        <v>10</v>
      </c>
    </row>
    <row r="103" spans="1:5" ht="13.2" x14ac:dyDescent="0.25">
      <c r="A103" s="4" t="s">
        <v>72</v>
      </c>
      <c r="B103" s="4">
        <v>1</v>
      </c>
      <c r="C103" s="4" t="s">
        <v>128</v>
      </c>
      <c r="D103" s="6">
        <v>2200</v>
      </c>
      <c r="E103" s="7">
        <f t="shared" si="4"/>
        <v>10</v>
      </c>
    </row>
    <row r="104" spans="1:5" ht="13.2" x14ac:dyDescent="0.25">
      <c r="A104" s="4" t="s">
        <v>72</v>
      </c>
      <c r="B104" s="4">
        <v>1</v>
      </c>
      <c r="C104" s="4" t="s">
        <v>129</v>
      </c>
      <c r="D104" s="6">
        <v>2200</v>
      </c>
      <c r="E104" s="7">
        <f t="shared" si="4"/>
        <v>10</v>
      </c>
    </row>
    <row r="105" spans="1:5" ht="13.2" x14ac:dyDescent="0.25">
      <c r="A105" s="4" t="s">
        <v>72</v>
      </c>
      <c r="B105" s="4">
        <v>1</v>
      </c>
      <c r="C105" s="4" t="s">
        <v>130</v>
      </c>
      <c r="D105" s="6">
        <v>2200</v>
      </c>
      <c r="E105" s="7">
        <f t="shared" si="4"/>
        <v>10</v>
      </c>
    </row>
    <row r="106" spans="1:5" ht="13.2" x14ac:dyDescent="0.25">
      <c r="A106" s="1" t="s">
        <v>131</v>
      </c>
      <c r="B106" s="10"/>
      <c r="C106" s="10"/>
      <c r="D106" s="10"/>
      <c r="E106" s="11"/>
    </row>
    <row r="107" spans="1:5" ht="13.2" x14ac:dyDescent="0.25">
      <c r="A107" s="4" t="s">
        <v>132</v>
      </c>
      <c r="B107" s="4">
        <v>1</v>
      </c>
      <c r="C107" s="4" t="s">
        <v>133</v>
      </c>
      <c r="D107" s="6">
        <v>72000</v>
      </c>
      <c r="E107" s="7">
        <f t="shared" ref="E107:E129" si="5">D107/220</f>
        <v>327.27272727272725</v>
      </c>
    </row>
    <row r="108" spans="1:5" ht="13.2" x14ac:dyDescent="0.25">
      <c r="A108" s="4" t="s">
        <v>64</v>
      </c>
      <c r="B108" s="4">
        <v>3</v>
      </c>
      <c r="C108" s="4" t="s">
        <v>134</v>
      </c>
      <c r="D108" s="12">
        <v>1380</v>
      </c>
      <c r="E108" s="7">
        <f t="shared" si="5"/>
        <v>6.2727272727272725</v>
      </c>
    </row>
    <row r="109" spans="1:5" ht="13.2" x14ac:dyDescent="0.25">
      <c r="A109" s="4" t="s">
        <v>64</v>
      </c>
      <c r="B109" s="4">
        <v>2</v>
      </c>
      <c r="C109" s="4" t="s">
        <v>135</v>
      </c>
      <c r="D109" s="12">
        <v>920</v>
      </c>
      <c r="E109" s="7">
        <f t="shared" si="5"/>
        <v>4.1818181818181817</v>
      </c>
    </row>
    <row r="110" spans="1:5" ht="13.2" x14ac:dyDescent="0.25">
      <c r="A110" s="4" t="s">
        <v>81</v>
      </c>
      <c r="B110" s="4">
        <v>5</v>
      </c>
      <c r="C110" s="4" t="s">
        <v>136</v>
      </c>
      <c r="D110" s="4">
        <v>750</v>
      </c>
      <c r="E110" s="7">
        <f t="shared" si="5"/>
        <v>3.4090909090909092</v>
      </c>
    </row>
    <row r="111" spans="1:5" ht="13.2" x14ac:dyDescent="0.25">
      <c r="A111" s="4" t="s">
        <v>137</v>
      </c>
      <c r="B111" s="4">
        <v>1</v>
      </c>
      <c r="C111" s="4" t="s">
        <v>138</v>
      </c>
      <c r="D111" s="6">
        <v>1000</v>
      </c>
      <c r="E111" s="7">
        <f t="shared" si="5"/>
        <v>4.5454545454545459</v>
      </c>
    </row>
    <row r="112" spans="1:5" ht="13.2" x14ac:dyDescent="0.25">
      <c r="A112" s="4" t="s">
        <v>137</v>
      </c>
      <c r="B112" s="4">
        <v>1</v>
      </c>
      <c r="C112" s="4" t="s">
        <v>139</v>
      </c>
      <c r="D112" s="6">
        <v>1000</v>
      </c>
      <c r="E112" s="7">
        <f t="shared" si="5"/>
        <v>4.5454545454545459</v>
      </c>
    </row>
    <row r="113" spans="1:5" ht="13.2" x14ac:dyDescent="0.25">
      <c r="A113" s="4" t="s">
        <v>137</v>
      </c>
      <c r="B113" s="4">
        <v>1</v>
      </c>
      <c r="C113" s="4" t="s">
        <v>140</v>
      </c>
      <c r="D113" s="6">
        <v>1000</v>
      </c>
      <c r="E113" s="7">
        <f t="shared" si="5"/>
        <v>4.5454545454545459</v>
      </c>
    </row>
    <row r="114" spans="1:5" ht="13.2" x14ac:dyDescent="0.25">
      <c r="A114" s="4" t="s">
        <v>137</v>
      </c>
      <c r="B114" s="4">
        <v>1</v>
      </c>
      <c r="C114" s="4" t="s">
        <v>141</v>
      </c>
      <c r="D114" s="6">
        <v>1000</v>
      </c>
      <c r="E114" s="7">
        <f t="shared" si="5"/>
        <v>4.5454545454545459</v>
      </c>
    </row>
    <row r="115" spans="1:5" ht="13.2" x14ac:dyDescent="0.25">
      <c r="A115" s="4" t="s">
        <v>137</v>
      </c>
      <c r="B115" s="4">
        <v>1</v>
      </c>
      <c r="C115" s="4" t="s">
        <v>142</v>
      </c>
      <c r="D115" s="6">
        <v>1000</v>
      </c>
      <c r="E115" s="7">
        <f t="shared" si="5"/>
        <v>4.5454545454545459</v>
      </c>
    </row>
    <row r="116" spans="1:5" ht="13.2" x14ac:dyDescent="0.25">
      <c r="A116" s="4" t="s">
        <v>143</v>
      </c>
      <c r="B116" s="4">
        <v>1</v>
      </c>
      <c r="C116" s="4" t="s">
        <v>144</v>
      </c>
      <c r="D116" s="6">
        <v>2000</v>
      </c>
      <c r="E116" s="7">
        <f t="shared" si="5"/>
        <v>9.0909090909090917</v>
      </c>
    </row>
    <row r="117" spans="1:5" ht="13.2" x14ac:dyDescent="0.25">
      <c r="A117" s="4" t="s">
        <v>143</v>
      </c>
      <c r="B117" s="4">
        <v>1</v>
      </c>
      <c r="C117" s="4" t="s">
        <v>145</v>
      </c>
      <c r="D117" s="6">
        <v>2000</v>
      </c>
      <c r="E117" s="7">
        <f t="shared" si="5"/>
        <v>9.0909090909090917</v>
      </c>
    </row>
    <row r="118" spans="1:5" ht="13.2" x14ac:dyDescent="0.25">
      <c r="A118" s="4" t="s">
        <v>143</v>
      </c>
      <c r="B118" s="4">
        <v>1</v>
      </c>
      <c r="C118" s="4" t="s">
        <v>146</v>
      </c>
      <c r="D118" s="6">
        <v>2000</v>
      </c>
      <c r="E118" s="7">
        <f t="shared" si="5"/>
        <v>9.0909090909090917</v>
      </c>
    </row>
    <row r="119" spans="1:5" ht="13.2" x14ac:dyDescent="0.25">
      <c r="A119" s="4" t="s">
        <v>143</v>
      </c>
      <c r="B119" s="4">
        <v>1</v>
      </c>
      <c r="C119" s="4" t="s">
        <v>147</v>
      </c>
      <c r="D119" s="6">
        <v>2000</v>
      </c>
      <c r="E119" s="7">
        <f t="shared" si="5"/>
        <v>9.0909090909090917</v>
      </c>
    </row>
    <row r="120" spans="1:5" ht="13.2" x14ac:dyDescent="0.25">
      <c r="A120" s="4" t="s">
        <v>143</v>
      </c>
      <c r="B120" s="4">
        <v>1</v>
      </c>
      <c r="C120" s="4" t="s">
        <v>148</v>
      </c>
      <c r="D120" s="6">
        <v>2000</v>
      </c>
      <c r="E120" s="7">
        <f t="shared" si="5"/>
        <v>9.0909090909090917</v>
      </c>
    </row>
    <row r="121" spans="1:5" ht="13.2" x14ac:dyDescent="0.25">
      <c r="A121" s="4" t="s">
        <v>149</v>
      </c>
      <c r="B121" s="4">
        <v>5</v>
      </c>
      <c r="C121" s="4" t="s">
        <v>150</v>
      </c>
      <c r="D121" s="4">
        <v>250</v>
      </c>
      <c r="E121" s="7">
        <f t="shared" si="5"/>
        <v>1.1363636363636365</v>
      </c>
    </row>
    <row r="122" spans="1:5" ht="13.2" x14ac:dyDescent="0.25">
      <c r="A122" s="4" t="s">
        <v>72</v>
      </c>
      <c r="B122" s="4">
        <v>1</v>
      </c>
      <c r="C122" s="4" t="s">
        <v>151</v>
      </c>
      <c r="D122" s="6">
        <v>2200</v>
      </c>
      <c r="E122" s="7">
        <f t="shared" si="5"/>
        <v>10</v>
      </c>
    </row>
    <row r="123" spans="1:5" ht="13.2" x14ac:dyDescent="0.25">
      <c r="A123" s="4" t="s">
        <v>72</v>
      </c>
      <c r="B123" s="4">
        <v>1</v>
      </c>
      <c r="C123" s="4" t="s">
        <v>152</v>
      </c>
      <c r="D123" s="6">
        <v>2200</v>
      </c>
      <c r="E123" s="7">
        <f t="shared" si="5"/>
        <v>10</v>
      </c>
    </row>
    <row r="124" spans="1:5" ht="13.2" x14ac:dyDescent="0.25">
      <c r="A124" s="4" t="s">
        <v>72</v>
      </c>
      <c r="B124" s="4">
        <v>1</v>
      </c>
      <c r="C124" s="4" t="s">
        <v>153</v>
      </c>
      <c r="D124" s="6">
        <v>2200</v>
      </c>
      <c r="E124" s="7">
        <f t="shared" si="5"/>
        <v>10</v>
      </c>
    </row>
    <row r="125" spans="1:5" ht="13.2" x14ac:dyDescent="0.25">
      <c r="A125" s="4" t="s">
        <v>72</v>
      </c>
      <c r="B125" s="4">
        <v>1</v>
      </c>
      <c r="C125" s="4" t="s">
        <v>154</v>
      </c>
      <c r="D125" s="6">
        <v>2200</v>
      </c>
      <c r="E125" s="7">
        <f t="shared" si="5"/>
        <v>10</v>
      </c>
    </row>
    <row r="126" spans="1:5" ht="13.2" x14ac:dyDescent="0.25">
      <c r="A126" s="4" t="s">
        <v>72</v>
      </c>
      <c r="B126" s="4">
        <v>1</v>
      </c>
      <c r="C126" s="4" t="s">
        <v>155</v>
      </c>
      <c r="D126" s="6">
        <v>2200</v>
      </c>
      <c r="E126" s="7">
        <f t="shared" si="5"/>
        <v>10</v>
      </c>
    </row>
    <row r="127" spans="1:5" ht="13.2" x14ac:dyDescent="0.25">
      <c r="A127" s="4" t="s">
        <v>72</v>
      </c>
      <c r="B127" s="4">
        <v>1</v>
      </c>
      <c r="C127" s="4" t="s">
        <v>156</v>
      </c>
      <c r="D127" s="6">
        <v>2200</v>
      </c>
      <c r="E127" s="7">
        <f t="shared" si="5"/>
        <v>10</v>
      </c>
    </row>
    <row r="128" spans="1:5" ht="13.2" x14ac:dyDescent="0.25">
      <c r="A128" s="4" t="s">
        <v>72</v>
      </c>
      <c r="B128" s="4">
        <v>1</v>
      </c>
      <c r="C128" s="4" t="s">
        <v>157</v>
      </c>
      <c r="D128" s="6">
        <v>2200</v>
      </c>
      <c r="E128" s="7">
        <f t="shared" si="5"/>
        <v>10</v>
      </c>
    </row>
    <row r="129" spans="1:5" ht="13.2" x14ac:dyDescent="0.25">
      <c r="A129" s="4" t="s">
        <v>72</v>
      </c>
      <c r="B129" s="4">
        <v>1</v>
      </c>
      <c r="C129" s="4" t="s">
        <v>158</v>
      </c>
      <c r="D129" s="6">
        <v>2200</v>
      </c>
      <c r="E129" s="7">
        <f t="shared" si="5"/>
        <v>10</v>
      </c>
    </row>
    <row r="130" spans="1:5" ht="13.2" x14ac:dyDescent="0.25">
      <c r="A130" s="1" t="s">
        <v>159</v>
      </c>
      <c r="B130" s="10"/>
      <c r="C130" s="10"/>
      <c r="D130" s="10"/>
      <c r="E130" s="11"/>
    </row>
    <row r="131" spans="1:5" ht="13.2" x14ac:dyDescent="0.25">
      <c r="A131" s="4" t="s">
        <v>72</v>
      </c>
      <c r="B131" s="4">
        <v>1</v>
      </c>
      <c r="C131" s="4" t="s">
        <v>160</v>
      </c>
      <c r="D131" s="6">
        <v>2200</v>
      </c>
      <c r="E131" s="7">
        <f t="shared" ref="E131:E137" si="6">D131/220</f>
        <v>10</v>
      </c>
    </row>
    <row r="132" spans="1:5" ht="13.2" x14ac:dyDescent="0.25">
      <c r="A132" s="4" t="s">
        <v>72</v>
      </c>
      <c r="B132" s="4">
        <v>1</v>
      </c>
      <c r="C132" s="4" t="s">
        <v>161</v>
      </c>
      <c r="D132" s="6">
        <v>2200</v>
      </c>
      <c r="E132" s="7">
        <f t="shared" si="6"/>
        <v>10</v>
      </c>
    </row>
    <row r="133" spans="1:5" ht="13.2" x14ac:dyDescent="0.25">
      <c r="A133" s="4" t="s">
        <v>72</v>
      </c>
      <c r="B133" s="4">
        <v>1</v>
      </c>
      <c r="C133" s="4" t="s">
        <v>162</v>
      </c>
      <c r="D133" s="6">
        <v>2200</v>
      </c>
      <c r="E133" s="7">
        <f t="shared" si="6"/>
        <v>10</v>
      </c>
    </row>
    <row r="134" spans="1:5" ht="13.2" x14ac:dyDescent="0.25">
      <c r="A134" s="4" t="s">
        <v>72</v>
      </c>
      <c r="B134" s="4">
        <v>1</v>
      </c>
      <c r="C134" s="4" t="s">
        <v>163</v>
      </c>
      <c r="D134" s="6">
        <v>2200</v>
      </c>
      <c r="E134" s="7">
        <f t="shared" si="6"/>
        <v>10</v>
      </c>
    </row>
    <row r="135" spans="1:5" ht="13.2" x14ac:dyDescent="0.25">
      <c r="A135" s="4" t="s">
        <v>72</v>
      </c>
      <c r="B135" s="4">
        <v>1</v>
      </c>
      <c r="C135" s="4" t="s">
        <v>164</v>
      </c>
      <c r="D135" s="6">
        <v>2200</v>
      </c>
      <c r="E135" s="7">
        <f t="shared" si="6"/>
        <v>10</v>
      </c>
    </row>
    <row r="136" spans="1:5" ht="13.2" x14ac:dyDescent="0.25">
      <c r="A136" s="4" t="s">
        <v>72</v>
      </c>
      <c r="B136" s="4">
        <v>1</v>
      </c>
      <c r="C136" s="4" t="s">
        <v>165</v>
      </c>
      <c r="D136" s="6">
        <v>2200</v>
      </c>
      <c r="E136" s="7">
        <f t="shared" si="6"/>
        <v>10</v>
      </c>
    </row>
    <row r="137" spans="1:5" ht="13.2" x14ac:dyDescent="0.25">
      <c r="A137" s="4" t="s">
        <v>69</v>
      </c>
      <c r="B137" s="4">
        <v>1</v>
      </c>
      <c r="C137" s="4" t="s">
        <v>166</v>
      </c>
      <c r="D137" s="6">
        <v>8736</v>
      </c>
      <c r="E137" s="7">
        <f t="shared" si="6"/>
        <v>39.709090909090911</v>
      </c>
    </row>
    <row r="138" spans="1:5" ht="13.2" x14ac:dyDescent="0.25">
      <c r="A138" s="1" t="s">
        <v>167</v>
      </c>
      <c r="B138" s="10"/>
      <c r="C138" s="10"/>
      <c r="D138" s="10"/>
      <c r="E138" s="11"/>
    </row>
    <row r="139" spans="1:5" ht="13.2" x14ac:dyDescent="0.25">
      <c r="A139" s="4" t="s">
        <v>69</v>
      </c>
      <c r="B139" s="4">
        <v>1</v>
      </c>
      <c r="C139" s="4" t="s">
        <v>168</v>
      </c>
      <c r="D139" s="6">
        <v>8736</v>
      </c>
      <c r="E139" s="7">
        <f t="shared" ref="E139:E148" si="7">D139/220</f>
        <v>39.709090909090911</v>
      </c>
    </row>
    <row r="140" spans="1:5" ht="13.2" x14ac:dyDescent="0.25">
      <c r="A140" s="4" t="s">
        <v>72</v>
      </c>
      <c r="B140" s="4">
        <v>1</v>
      </c>
      <c r="C140" s="4" t="s">
        <v>169</v>
      </c>
      <c r="D140" s="6">
        <v>2200</v>
      </c>
      <c r="E140" s="7">
        <f t="shared" si="7"/>
        <v>10</v>
      </c>
    </row>
    <row r="141" spans="1:5" ht="13.2" x14ac:dyDescent="0.25">
      <c r="A141" s="4" t="s">
        <v>72</v>
      </c>
      <c r="B141" s="4">
        <v>1</v>
      </c>
      <c r="C141" s="4" t="s">
        <v>170</v>
      </c>
      <c r="D141" s="6">
        <v>2200</v>
      </c>
      <c r="E141" s="7">
        <f t="shared" si="7"/>
        <v>10</v>
      </c>
    </row>
    <row r="142" spans="1:5" ht="13.2" x14ac:dyDescent="0.25">
      <c r="A142" s="4" t="s">
        <v>72</v>
      </c>
      <c r="B142" s="4">
        <v>1</v>
      </c>
      <c r="C142" s="4" t="s">
        <v>171</v>
      </c>
      <c r="D142" s="6">
        <v>2200</v>
      </c>
      <c r="E142" s="7">
        <f t="shared" si="7"/>
        <v>10</v>
      </c>
    </row>
    <row r="143" spans="1:5" ht="13.2" x14ac:dyDescent="0.25">
      <c r="A143" s="4" t="s">
        <v>72</v>
      </c>
      <c r="B143" s="4">
        <v>1</v>
      </c>
      <c r="C143" s="4" t="s">
        <v>172</v>
      </c>
      <c r="D143" s="6">
        <v>2200</v>
      </c>
      <c r="E143" s="7">
        <f t="shared" si="7"/>
        <v>10</v>
      </c>
    </row>
    <row r="144" spans="1:5" ht="13.2" x14ac:dyDescent="0.25">
      <c r="A144" s="4" t="s">
        <v>72</v>
      </c>
      <c r="B144" s="4">
        <v>1</v>
      </c>
      <c r="C144" s="4" t="s">
        <v>173</v>
      </c>
      <c r="D144" s="6">
        <v>2200</v>
      </c>
      <c r="E144" s="7">
        <f t="shared" si="7"/>
        <v>10</v>
      </c>
    </row>
    <row r="145" spans="1:5" ht="13.2" x14ac:dyDescent="0.25">
      <c r="A145" s="4" t="s">
        <v>72</v>
      </c>
      <c r="B145" s="4">
        <v>1</v>
      </c>
      <c r="C145" s="4" t="s">
        <v>174</v>
      </c>
      <c r="D145" s="6">
        <v>2200</v>
      </c>
      <c r="E145" s="7">
        <f t="shared" si="7"/>
        <v>10</v>
      </c>
    </row>
    <row r="146" spans="1:5" ht="13.2" x14ac:dyDescent="0.25">
      <c r="A146" s="4" t="s">
        <v>72</v>
      </c>
      <c r="B146" s="4">
        <v>1</v>
      </c>
      <c r="C146" s="4" t="s">
        <v>175</v>
      </c>
      <c r="D146" s="6">
        <v>2200</v>
      </c>
      <c r="E146" s="7">
        <f t="shared" si="7"/>
        <v>10</v>
      </c>
    </row>
    <row r="147" spans="1:5" ht="13.2" x14ac:dyDescent="0.25">
      <c r="A147" s="4" t="s">
        <v>72</v>
      </c>
      <c r="B147" s="4">
        <v>1</v>
      </c>
      <c r="C147" s="4" t="s">
        <v>176</v>
      </c>
      <c r="D147" s="6">
        <v>2200</v>
      </c>
      <c r="E147" s="7">
        <f t="shared" si="7"/>
        <v>10</v>
      </c>
    </row>
    <row r="148" spans="1:5" ht="13.2" x14ac:dyDescent="0.25">
      <c r="A148" s="4" t="s">
        <v>72</v>
      </c>
      <c r="B148" s="4">
        <v>1</v>
      </c>
      <c r="C148" s="4" t="s">
        <v>177</v>
      </c>
      <c r="D148" s="6">
        <v>2200</v>
      </c>
      <c r="E148" s="7">
        <f t="shared" si="7"/>
        <v>10</v>
      </c>
    </row>
    <row r="149" spans="1:5" ht="13.2" x14ac:dyDescent="0.25">
      <c r="A149" s="4"/>
      <c r="B149" s="4"/>
      <c r="C149" s="4"/>
      <c r="E149" s="7"/>
    </row>
    <row r="150" spans="1:5" ht="13.2" x14ac:dyDescent="0.25">
      <c r="A150" s="4"/>
      <c r="B150" s="4"/>
      <c r="C150" s="4"/>
      <c r="E150" s="7"/>
    </row>
    <row r="151" spans="1:5" ht="13.2" x14ac:dyDescent="0.25">
      <c r="A151" s="4"/>
      <c r="B151" s="4"/>
      <c r="C151" s="4"/>
      <c r="E151" s="7"/>
    </row>
    <row r="152" spans="1:5" ht="13.2" x14ac:dyDescent="0.25">
      <c r="A152" s="4"/>
      <c r="B152" s="4"/>
      <c r="C152" s="4"/>
      <c r="E152" s="7"/>
    </row>
    <row r="153" spans="1:5" ht="13.2" x14ac:dyDescent="0.25">
      <c r="A153" s="4"/>
      <c r="B153" s="4"/>
      <c r="C153" s="4"/>
      <c r="E153" s="7"/>
    </row>
    <row r="154" spans="1:5" ht="13.2" x14ac:dyDescent="0.25">
      <c r="A154" s="4"/>
      <c r="B154" s="4"/>
      <c r="C154" s="4"/>
      <c r="E154" s="7"/>
    </row>
    <row r="155" spans="1:5" ht="13.2" x14ac:dyDescent="0.25">
      <c r="A155" s="4"/>
      <c r="B155" s="4"/>
      <c r="C155" s="4"/>
      <c r="E155" s="7"/>
    </row>
    <row r="156" spans="1:5" ht="13.2" x14ac:dyDescent="0.25">
      <c r="A156" s="4"/>
      <c r="B156" s="4"/>
      <c r="C156" s="4"/>
      <c r="E156" s="7"/>
    </row>
    <row r="157" spans="1:5" ht="13.2" x14ac:dyDescent="0.25">
      <c r="A157" s="4"/>
      <c r="B157" s="4"/>
      <c r="C157" s="4"/>
      <c r="E157" s="7"/>
    </row>
    <row r="158" spans="1:5" ht="13.2" x14ac:dyDescent="0.25">
      <c r="A158" s="4"/>
      <c r="B158" s="4"/>
      <c r="C158" s="4"/>
      <c r="E158" s="7"/>
    </row>
    <row r="159" spans="1:5" ht="13.2" x14ac:dyDescent="0.25">
      <c r="A159" s="4"/>
      <c r="B159" s="4"/>
      <c r="C159" s="4"/>
      <c r="E159" s="7"/>
    </row>
    <row r="160" spans="1:5" ht="13.2" x14ac:dyDescent="0.25">
      <c r="A160" s="4"/>
      <c r="B160" s="4"/>
      <c r="C160" s="4"/>
      <c r="E160" s="7"/>
    </row>
    <row r="161" spans="1:5" ht="13.2" x14ac:dyDescent="0.25">
      <c r="A161" s="4"/>
      <c r="B161" s="4"/>
      <c r="C161" s="4"/>
      <c r="E161" s="7"/>
    </row>
    <row r="162" spans="1:5" ht="13.2" x14ac:dyDescent="0.25">
      <c r="A162" s="4"/>
      <c r="B162" s="4"/>
      <c r="C162" s="4"/>
      <c r="E162" s="7"/>
    </row>
    <row r="163" spans="1:5" ht="13.2" x14ac:dyDescent="0.25">
      <c r="A163" s="4"/>
      <c r="B163" s="4"/>
      <c r="C163" s="4"/>
      <c r="E163" s="7"/>
    </row>
    <row r="164" spans="1:5" ht="13.2" x14ac:dyDescent="0.25">
      <c r="A164" s="4"/>
      <c r="B164" s="4"/>
      <c r="C164" s="4"/>
      <c r="E164" s="7"/>
    </row>
    <row r="165" spans="1:5" ht="13.2" x14ac:dyDescent="0.25">
      <c r="A165" s="4"/>
      <c r="B165" s="4"/>
      <c r="C165" s="4"/>
      <c r="E165" s="7"/>
    </row>
    <row r="166" spans="1:5" ht="13.2" x14ac:dyDescent="0.25">
      <c r="A166" s="4"/>
      <c r="B166" s="4"/>
      <c r="C166" s="4"/>
      <c r="E166" s="7"/>
    </row>
    <row r="167" spans="1:5" ht="13.2" x14ac:dyDescent="0.25">
      <c r="A167" s="4"/>
      <c r="B167" s="4"/>
      <c r="C167" s="4"/>
      <c r="E167" s="7"/>
    </row>
    <row r="168" spans="1:5" ht="13.2" x14ac:dyDescent="0.25">
      <c r="A168" s="4"/>
      <c r="B168" s="4"/>
      <c r="C168" s="4"/>
      <c r="E168" s="7"/>
    </row>
    <row r="169" spans="1:5" ht="13.2" x14ac:dyDescent="0.25">
      <c r="A169" s="4"/>
      <c r="B169" s="4"/>
      <c r="C169" s="4"/>
      <c r="E169" s="7"/>
    </row>
    <row r="170" spans="1:5" ht="13.2" x14ac:dyDescent="0.25">
      <c r="A170" s="4"/>
      <c r="B170" s="4"/>
      <c r="C170" s="4"/>
      <c r="E170" s="7"/>
    </row>
    <row r="171" spans="1:5" ht="13.2" x14ac:dyDescent="0.25">
      <c r="A171" s="4"/>
      <c r="B171" s="4"/>
      <c r="C171" s="4"/>
      <c r="E171" s="7"/>
    </row>
    <row r="172" spans="1:5" ht="13.2" x14ac:dyDescent="0.25">
      <c r="A172" s="4"/>
      <c r="B172" s="4"/>
      <c r="C172" s="4"/>
      <c r="E172" s="7"/>
    </row>
    <row r="173" spans="1:5" ht="13.2" x14ac:dyDescent="0.25">
      <c r="A173" s="4"/>
      <c r="B173" s="4"/>
      <c r="C173" s="4"/>
      <c r="E173" s="7"/>
    </row>
    <row r="174" spans="1:5" ht="13.2" x14ac:dyDescent="0.25">
      <c r="A174" s="4"/>
      <c r="B174" s="4"/>
      <c r="C174" s="4"/>
      <c r="E174" s="7"/>
    </row>
    <row r="175" spans="1:5" ht="13.2" x14ac:dyDescent="0.25">
      <c r="A175" s="4"/>
      <c r="B175" s="4"/>
      <c r="C175" s="4"/>
      <c r="E175" s="7"/>
    </row>
    <row r="176" spans="1:5" ht="13.2" x14ac:dyDescent="0.25">
      <c r="A176" s="4"/>
      <c r="B176" s="4"/>
      <c r="C176" s="4"/>
      <c r="E176" s="7"/>
    </row>
    <row r="177" spans="1:5" ht="13.2" x14ac:dyDescent="0.25">
      <c r="A177" s="4"/>
      <c r="B177" s="4"/>
      <c r="C177" s="4"/>
      <c r="E177" s="7"/>
    </row>
    <row r="178" spans="1:5" ht="13.2" x14ac:dyDescent="0.25">
      <c r="A178" s="4"/>
      <c r="B178" s="4"/>
      <c r="C178" s="4"/>
      <c r="E178" s="7"/>
    </row>
    <row r="179" spans="1:5" ht="13.2" x14ac:dyDescent="0.25">
      <c r="A179" s="4"/>
      <c r="B179" s="4"/>
      <c r="C179" s="4"/>
      <c r="E179" s="7"/>
    </row>
    <row r="180" spans="1:5" ht="13.2" x14ac:dyDescent="0.25">
      <c r="A180" s="4"/>
      <c r="B180" s="4"/>
      <c r="C180" s="4"/>
      <c r="E180" s="7"/>
    </row>
    <row r="181" spans="1:5" ht="13.2" x14ac:dyDescent="0.25">
      <c r="A181" s="4"/>
      <c r="B181" s="4"/>
      <c r="C181" s="4"/>
      <c r="E181" s="7"/>
    </row>
    <row r="182" spans="1:5" ht="13.2" x14ac:dyDescent="0.25">
      <c r="A182" s="4"/>
      <c r="B182" s="4"/>
      <c r="C182" s="4"/>
      <c r="E182" s="7"/>
    </row>
    <row r="183" spans="1:5" ht="13.2" x14ac:dyDescent="0.25">
      <c r="A183" s="4"/>
      <c r="B183" s="4"/>
      <c r="C183" s="4"/>
      <c r="E183" s="7"/>
    </row>
    <row r="184" spans="1:5" ht="13.2" x14ac:dyDescent="0.25">
      <c r="A184" s="4"/>
      <c r="B184" s="4"/>
      <c r="C184" s="4"/>
      <c r="E184" s="7"/>
    </row>
    <row r="185" spans="1:5" ht="13.2" x14ac:dyDescent="0.25">
      <c r="A185" s="4"/>
      <c r="B185" s="4"/>
      <c r="C185" s="4"/>
      <c r="E185" s="7"/>
    </row>
    <row r="186" spans="1:5" ht="13.2" x14ac:dyDescent="0.25">
      <c r="A186" s="4"/>
      <c r="B186" s="4"/>
      <c r="C186" s="4"/>
      <c r="E186" s="7"/>
    </row>
    <row r="187" spans="1:5" ht="13.2" x14ac:dyDescent="0.25">
      <c r="A187" s="4"/>
      <c r="B187" s="4"/>
      <c r="C187" s="4"/>
      <c r="E187" s="7"/>
    </row>
    <row r="188" spans="1:5" ht="13.2" x14ac:dyDescent="0.25">
      <c r="A188" s="4"/>
      <c r="B188" s="4"/>
      <c r="C188" s="4"/>
      <c r="E188" s="7"/>
    </row>
    <row r="189" spans="1:5" ht="13.2" x14ac:dyDescent="0.25">
      <c r="A189" s="4"/>
      <c r="B189" s="4"/>
      <c r="C189" s="4"/>
      <c r="E189" s="7"/>
    </row>
    <row r="190" spans="1:5" ht="13.2" x14ac:dyDescent="0.25">
      <c r="A190" s="4"/>
      <c r="B190" s="4"/>
      <c r="C190" s="4"/>
      <c r="E190" s="7"/>
    </row>
    <row r="191" spans="1:5" ht="13.2" x14ac:dyDescent="0.25">
      <c r="A191" s="4"/>
      <c r="B191" s="4"/>
      <c r="C191" s="4"/>
      <c r="E191" s="7"/>
    </row>
    <row r="192" spans="1:5" ht="13.2" x14ac:dyDescent="0.25">
      <c r="A192" s="4"/>
      <c r="B192" s="4"/>
      <c r="C192" s="4"/>
      <c r="E192" s="7"/>
    </row>
    <row r="193" spans="1:5" ht="13.2" x14ac:dyDescent="0.25">
      <c r="A193" s="4"/>
      <c r="B193" s="4"/>
      <c r="C193" s="4"/>
      <c r="E193" s="7"/>
    </row>
    <row r="194" spans="1:5" ht="13.2" x14ac:dyDescent="0.25">
      <c r="A194" s="4"/>
      <c r="B194" s="4"/>
      <c r="C194" s="4"/>
      <c r="E194" s="7"/>
    </row>
    <row r="195" spans="1:5" ht="13.2" x14ac:dyDescent="0.25">
      <c r="A195" s="4"/>
      <c r="B195" s="4"/>
      <c r="C195" s="4"/>
      <c r="E195" s="7"/>
    </row>
    <row r="196" spans="1:5" ht="13.2" x14ac:dyDescent="0.25">
      <c r="A196" s="4"/>
      <c r="B196" s="4"/>
      <c r="C196" s="4"/>
      <c r="E196" s="7"/>
    </row>
    <row r="197" spans="1:5" ht="13.2" x14ac:dyDescent="0.25">
      <c r="A197" s="4"/>
      <c r="B197" s="4"/>
      <c r="C197" s="4"/>
      <c r="E197" s="7"/>
    </row>
    <row r="198" spans="1:5" ht="13.2" x14ac:dyDescent="0.25">
      <c r="A198" s="4"/>
      <c r="B198" s="4"/>
      <c r="C198" s="4"/>
      <c r="E198" s="7"/>
    </row>
    <row r="199" spans="1:5" ht="13.2" x14ac:dyDescent="0.25">
      <c r="A199" s="4"/>
      <c r="B199" s="4"/>
      <c r="C199" s="4"/>
      <c r="E199" s="7"/>
    </row>
    <row r="200" spans="1:5" ht="13.2" x14ac:dyDescent="0.25">
      <c r="A200" s="4"/>
      <c r="B200" s="4"/>
      <c r="C200" s="4"/>
      <c r="E200" s="7"/>
    </row>
    <row r="201" spans="1:5" ht="13.2" x14ac:dyDescent="0.25">
      <c r="A201" s="4"/>
      <c r="B201" s="4"/>
      <c r="C201" s="4"/>
      <c r="E201" s="7"/>
    </row>
    <row r="202" spans="1:5" ht="13.2" x14ac:dyDescent="0.25">
      <c r="A202" s="4"/>
      <c r="B202" s="4"/>
      <c r="C202" s="4"/>
      <c r="E202" s="7"/>
    </row>
    <row r="203" spans="1:5" ht="13.2" x14ac:dyDescent="0.25">
      <c r="A203" s="4"/>
      <c r="B203" s="4"/>
      <c r="C203" s="4"/>
      <c r="E203" s="7"/>
    </row>
    <row r="204" spans="1:5" ht="13.2" x14ac:dyDescent="0.25">
      <c r="A204" s="4"/>
      <c r="B204" s="4"/>
      <c r="C204" s="4"/>
      <c r="E204" s="7"/>
    </row>
    <row r="205" spans="1:5" ht="13.2" x14ac:dyDescent="0.25">
      <c r="A205" s="4"/>
      <c r="B205" s="4"/>
      <c r="C205" s="4"/>
      <c r="E205" s="7"/>
    </row>
    <row r="206" spans="1:5" ht="13.2" x14ac:dyDescent="0.25">
      <c r="A206" s="4"/>
      <c r="B206" s="4"/>
      <c r="C206" s="4"/>
      <c r="E206" s="7"/>
    </row>
    <row r="207" spans="1:5" ht="13.2" x14ac:dyDescent="0.25">
      <c r="A207" s="4"/>
      <c r="B207" s="4"/>
      <c r="C207" s="4"/>
      <c r="E207" s="7"/>
    </row>
    <row r="208" spans="1:5" ht="13.2" x14ac:dyDescent="0.25">
      <c r="A208" s="4"/>
      <c r="B208" s="4"/>
      <c r="C208" s="4"/>
      <c r="E208" s="7"/>
    </row>
    <row r="209" spans="1:5" ht="13.2" x14ac:dyDescent="0.25">
      <c r="A209" s="4"/>
      <c r="B209" s="4"/>
      <c r="C209" s="4"/>
      <c r="E209" s="7"/>
    </row>
    <row r="210" spans="1:5" ht="13.2" x14ac:dyDescent="0.25">
      <c r="A210" s="4"/>
      <c r="B210" s="4"/>
      <c r="C210" s="4"/>
      <c r="E210" s="7"/>
    </row>
    <row r="211" spans="1:5" ht="13.2" x14ac:dyDescent="0.25">
      <c r="A211" s="4"/>
      <c r="B211" s="4"/>
      <c r="C211" s="4"/>
      <c r="E211" s="7"/>
    </row>
    <row r="212" spans="1:5" ht="13.2" x14ac:dyDescent="0.25">
      <c r="A212" s="4"/>
      <c r="B212" s="4"/>
      <c r="C212" s="4"/>
      <c r="E212" s="7"/>
    </row>
    <row r="213" spans="1:5" ht="13.2" x14ac:dyDescent="0.25">
      <c r="A213" s="4"/>
      <c r="B213" s="4"/>
      <c r="C213" s="4"/>
      <c r="E213" s="7"/>
    </row>
    <row r="214" spans="1:5" ht="13.2" x14ac:dyDescent="0.25">
      <c r="A214" s="4"/>
      <c r="B214" s="4"/>
      <c r="C214" s="4"/>
      <c r="E214" s="7"/>
    </row>
    <row r="215" spans="1:5" ht="13.2" x14ac:dyDescent="0.25">
      <c r="A215" s="4"/>
      <c r="B215" s="4"/>
      <c r="C215" s="4"/>
      <c r="E215" s="7"/>
    </row>
    <row r="216" spans="1:5" ht="13.2" x14ac:dyDescent="0.25">
      <c r="A216" s="4"/>
      <c r="B216" s="4"/>
      <c r="C216" s="4"/>
      <c r="E216" s="7"/>
    </row>
    <row r="217" spans="1:5" ht="13.2" x14ac:dyDescent="0.25">
      <c r="A217" s="4"/>
      <c r="B217" s="4"/>
      <c r="C217" s="4"/>
      <c r="E217" s="7"/>
    </row>
    <row r="218" spans="1:5" ht="13.2" x14ac:dyDescent="0.25">
      <c r="A218" s="4"/>
      <c r="B218" s="4"/>
      <c r="C218" s="4"/>
      <c r="E218" s="7"/>
    </row>
    <row r="219" spans="1:5" ht="13.2" x14ac:dyDescent="0.25">
      <c r="A219" s="4"/>
      <c r="B219" s="4"/>
      <c r="C219" s="4"/>
      <c r="E219" s="7"/>
    </row>
    <row r="220" spans="1:5" ht="13.2" x14ac:dyDescent="0.25">
      <c r="A220" s="4"/>
      <c r="B220" s="4"/>
      <c r="C220" s="4"/>
      <c r="E220" s="7"/>
    </row>
    <row r="221" spans="1:5" ht="13.2" x14ac:dyDescent="0.25">
      <c r="A221" s="4"/>
      <c r="B221" s="4"/>
      <c r="C221" s="4"/>
      <c r="E221" s="7"/>
    </row>
    <row r="222" spans="1:5" ht="13.2" x14ac:dyDescent="0.25">
      <c r="A222" s="4"/>
      <c r="B222" s="4"/>
      <c r="C222" s="4"/>
      <c r="E222" s="7"/>
    </row>
    <row r="223" spans="1:5" ht="13.2" x14ac:dyDescent="0.25">
      <c r="A223" s="4"/>
      <c r="B223" s="4"/>
      <c r="C223" s="4"/>
      <c r="E223" s="7"/>
    </row>
    <row r="224" spans="1:5" ht="13.2" x14ac:dyDescent="0.25">
      <c r="A224" s="4"/>
      <c r="B224" s="4"/>
      <c r="C224" s="4"/>
      <c r="E224" s="7"/>
    </row>
    <row r="225" spans="1:5" ht="13.2" x14ac:dyDescent="0.25">
      <c r="A225" s="4"/>
      <c r="B225" s="4"/>
      <c r="C225" s="4"/>
      <c r="E225" s="7"/>
    </row>
    <row r="226" spans="1:5" ht="13.2" x14ac:dyDescent="0.25">
      <c r="A226" s="4"/>
      <c r="B226" s="4"/>
      <c r="C226" s="4"/>
      <c r="E226" s="7"/>
    </row>
    <row r="227" spans="1:5" ht="13.2" x14ac:dyDescent="0.25">
      <c r="A227" s="4"/>
      <c r="B227" s="4"/>
      <c r="C227" s="4"/>
      <c r="E227" s="7"/>
    </row>
    <row r="228" spans="1:5" ht="13.2" x14ac:dyDescent="0.25">
      <c r="A228" s="4"/>
      <c r="B228" s="4"/>
      <c r="C228" s="4"/>
      <c r="E228" s="7"/>
    </row>
    <row r="229" spans="1:5" ht="13.2" x14ac:dyDescent="0.25">
      <c r="A229" s="4"/>
      <c r="B229" s="4"/>
      <c r="C229" s="4"/>
      <c r="E229" s="7"/>
    </row>
    <row r="230" spans="1:5" ht="13.2" x14ac:dyDescent="0.25">
      <c r="A230" s="4"/>
      <c r="B230" s="4"/>
      <c r="C230" s="4"/>
      <c r="E230" s="7"/>
    </row>
    <row r="231" spans="1:5" ht="13.2" x14ac:dyDescent="0.25">
      <c r="A231" s="4"/>
      <c r="B231" s="4"/>
      <c r="C231" s="4"/>
      <c r="E231" s="7"/>
    </row>
    <row r="232" spans="1:5" ht="13.2" x14ac:dyDescent="0.25">
      <c r="A232" s="4"/>
      <c r="B232" s="4"/>
      <c r="C232" s="4"/>
      <c r="E232" s="7"/>
    </row>
    <row r="233" spans="1:5" ht="13.2" x14ac:dyDescent="0.25">
      <c r="A233" s="4"/>
      <c r="B233" s="4"/>
      <c r="C233" s="4"/>
      <c r="E233" s="7"/>
    </row>
    <row r="234" spans="1:5" ht="13.2" x14ac:dyDescent="0.25">
      <c r="A234" s="4"/>
      <c r="B234" s="4"/>
      <c r="C234" s="4"/>
      <c r="E234" s="7"/>
    </row>
    <row r="235" spans="1:5" ht="13.2" x14ac:dyDescent="0.25">
      <c r="A235" s="4"/>
      <c r="B235" s="4"/>
      <c r="C235" s="4"/>
      <c r="E235" s="7"/>
    </row>
    <row r="236" spans="1:5" ht="13.2" x14ac:dyDescent="0.25">
      <c r="A236" s="4"/>
      <c r="B236" s="4"/>
      <c r="C236" s="4"/>
      <c r="E236" s="7"/>
    </row>
    <row r="237" spans="1:5" ht="13.2" x14ac:dyDescent="0.25">
      <c r="A237" s="4"/>
      <c r="B237" s="4"/>
      <c r="C237" s="4"/>
      <c r="E237" s="7"/>
    </row>
    <row r="238" spans="1:5" ht="13.2" x14ac:dyDescent="0.25">
      <c r="A238" s="4"/>
      <c r="B238" s="4"/>
      <c r="C238" s="4"/>
      <c r="E238" s="7"/>
    </row>
    <row r="239" spans="1:5" ht="13.2" x14ac:dyDescent="0.25">
      <c r="A239" s="4"/>
      <c r="B239" s="4"/>
      <c r="C239" s="4"/>
      <c r="E239" s="7"/>
    </row>
    <row r="240" spans="1:5" ht="13.2" x14ac:dyDescent="0.25">
      <c r="A240" s="4"/>
      <c r="B240" s="4"/>
      <c r="C240" s="4"/>
      <c r="E240" s="7"/>
    </row>
    <row r="241" spans="1:5" ht="13.2" x14ac:dyDescent="0.25">
      <c r="A241" s="4"/>
      <c r="B241" s="4"/>
      <c r="C241" s="4"/>
      <c r="E241" s="7"/>
    </row>
    <row r="242" spans="1:5" ht="13.2" x14ac:dyDescent="0.25">
      <c r="A242" s="4"/>
      <c r="B242" s="4"/>
      <c r="C242" s="4"/>
      <c r="E242" s="7"/>
    </row>
    <row r="243" spans="1:5" ht="13.2" x14ac:dyDescent="0.25">
      <c r="A243" s="4"/>
      <c r="B243" s="4"/>
      <c r="C243" s="4"/>
      <c r="E243" s="7"/>
    </row>
    <row r="244" spans="1:5" ht="13.2" x14ac:dyDescent="0.25">
      <c r="A244" s="4"/>
      <c r="B244" s="4"/>
      <c r="C244" s="4"/>
      <c r="E244" s="7"/>
    </row>
    <row r="245" spans="1:5" ht="13.2" x14ac:dyDescent="0.25">
      <c r="A245" s="4"/>
      <c r="B245" s="4"/>
      <c r="C245" s="4"/>
      <c r="E245" s="7"/>
    </row>
    <row r="246" spans="1:5" ht="13.2" x14ac:dyDescent="0.25">
      <c r="A246" s="4"/>
      <c r="B246" s="4"/>
      <c r="C246" s="4"/>
      <c r="E246" s="7"/>
    </row>
    <row r="247" spans="1:5" ht="13.2" x14ac:dyDescent="0.25">
      <c r="A247" s="4"/>
      <c r="B247" s="4"/>
      <c r="C247" s="4"/>
      <c r="E247" s="7"/>
    </row>
    <row r="248" spans="1:5" ht="13.2" x14ac:dyDescent="0.25">
      <c r="A248" s="4"/>
      <c r="B248" s="4"/>
      <c r="C248" s="4"/>
      <c r="E248" s="7"/>
    </row>
    <row r="249" spans="1:5" ht="13.2" x14ac:dyDescent="0.25">
      <c r="A249" s="4"/>
      <c r="B249" s="4"/>
      <c r="C249" s="4"/>
      <c r="E249" s="7"/>
    </row>
    <row r="250" spans="1:5" ht="13.2" x14ac:dyDescent="0.25">
      <c r="A250" s="4"/>
      <c r="B250" s="4"/>
      <c r="C250" s="4"/>
      <c r="E250" s="7"/>
    </row>
    <row r="251" spans="1:5" ht="13.2" x14ac:dyDescent="0.25">
      <c r="A251" s="4"/>
      <c r="B251" s="4"/>
      <c r="C251" s="4"/>
      <c r="E251" s="7"/>
    </row>
    <row r="252" spans="1:5" ht="13.2" x14ac:dyDescent="0.25">
      <c r="A252" s="4"/>
      <c r="B252" s="4"/>
      <c r="C252" s="4"/>
      <c r="E252" s="7"/>
    </row>
    <row r="253" spans="1:5" ht="13.2" x14ac:dyDescent="0.25">
      <c r="A253" s="4"/>
      <c r="B253" s="4"/>
      <c r="C253" s="4"/>
      <c r="E253" s="7"/>
    </row>
    <row r="254" spans="1:5" ht="13.2" x14ac:dyDescent="0.25">
      <c r="A254" s="4"/>
      <c r="B254" s="4"/>
      <c r="C254" s="4"/>
      <c r="E254" s="7"/>
    </row>
    <row r="255" spans="1:5" ht="13.2" x14ac:dyDescent="0.25">
      <c r="A255" s="4"/>
      <c r="B255" s="4"/>
      <c r="C255" s="4"/>
      <c r="E255" s="7"/>
    </row>
    <row r="256" spans="1:5" ht="13.2" x14ac:dyDescent="0.25">
      <c r="A256" s="4"/>
      <c r="B256" s="4"/>
      <c r="C256" s="4"/>
      <c r="E256" s="7"/>
    </row>
    <row r="257" spans="1:5" ht="13.2" x14ac:dyDescent="0.25">
      <c r="A257" s="4"/>
      <c r="B257" s="4"/>
      <c r="C257" s="4"/>
      <c r="E257" s="7"/>
    </row>
    <row r="258" spans="1:5" ht="13.2" x14ac:dyDescent="0.25">
      <c r="A258" s="4"/>
      <c r="B258" s="4"/>
      <c r="C258" s="4"/>
      <c r="E258" s="7"/>
    </row>
    <row r="259" spans="1:5" ht="13.2" x14ac:dyDescent="0.25">
      <c r="A259" s="4"/>
      <c r="B259" s="4"/>
      <c r="C259" s="4"/>
      <c r="E259" s="7"/>
    </row>
    <row r="260" spans="1:5" ht="13.2" x14ac:dyDescent="0.25">
      <c r="A260" s="4"/>
      <c r="B260" s="4"/>
      <c r="C260" s="4"/>
      <c r="E260" s="7"/>
    </row>
    <row r="261" spans="1:5" ht="13.2" x14ac:dyDescent="0.25">
      <c r="A261" s="4"/>
      <c r="B261" s="4"/>
      <c r="C261" s="4"/>
      <c r="E261" s="7"/>
    </row>
    <row r="262" spans="1:5" ht="13.2" x14ac:dyDescent="0.25">
      <c r="A262" s="4"/>
      <c r="B262" s="4"/>
      <c r="C262" s="4"/>
      <c r="E262" s="7"/>
    </row>
    <row r="263" spans="1:5" ht="13.2" x14ac:dyDescent="0.25">
      <c r="A263" s="4"/>
      <c r="B263" s="4"/>
      <c r="C263" s="4"/>
      <c r="E263" s="7"/>
    </row>
    <row r="264" spans="1:5" ht="13.2" x14ac:dyDescent="0.25">
      <c r="A264" s="4"/>
      <c r="B264" s="4"/>
      <c r="C264" s="4"/>
      <c r="E264" s="7"/>
    </row>
    <row r="265" spans="1:5" ht="13.2" x14ac:dyDescent="0.25">
      <c r="A265" s="4"/>
      <c r="B265" s="4"/>
      <c r="C265" s="4"/>
      <c r="E265" s="7"/>
    </row>
    <row r="266" spans="1:5" ht="13.2" x14ac:dyDescent="0.25">
      <c r="A266" s="4"/>
      <c r="B266" s="4"/>
      <c r="C266" s="4"/>
      <c r="E266" s="7"/>
    </row>
    <row r="267" spans="1:5" ht="13.2" x14ac:dyDescent="0.25">
      <c r="A267" s="4"/>
      <c r="B267" s="4"/>
      <c r="C267" s="4"/>
      <c r="E267" s="7"/>
    </row>
    <row r="268" spans="1:5" ht="13.2" x14ac:dyDescent="0.25">
      <c r="A268" s="4"/>
      <c r="B268" s="4"/>
      <c r="C268" s="4"/>
      <c r="E268" s="7"/>
    </row>
    <row r="269" spans="1:5" ht="13.2" x14ac:dyDescent="0.25">
      <c r="A269" s="4"/>
      <c r="B269" s="4"/>
      <c r="C269" s="4"/>
      <c r="E269" s="7"/>
    </row>
    <row r="270" spans="1:5" ht="13.2" x14ac:dyDescent="0.25">
      <c r="A270" s="4"/>
      <c r="B270" s="4"/>
      <c r="C270" s="4"/>
      <c r="E270" s="7"/>
    </row>
    <row r="271" spans="1:5" ht="13.2" x14ac:dyDescent="0.25">
      <c r="A271" s="4"/>
      <c r="B271" s="4"/>
      <c r="C271" s="4"/>
      <c r="E271" s="7"/>
    </row>
    <row r="272" spans="1:5" ht="13.2" x14ac:dyDescent="0.25">
      <c r="A272" s="4"/>
      <c r="B272" s="4"/>
      <c r="C272" s="4"/>
      <c r="E272" s="7"/>
    </row>
    <row r="273" spans="1:5" ht="13.2" x14ac:dyDescent="0.25">
      <c r="A273" s="4"/>
      <c r="B273" s="4"/>
      <c r="C273" s="4"/>
      <c r="E273" s="7"/>
    </row>
    <row r="274" spans="1:5" ht="13.2" x14ac:dyDescent="0.25">
      <c r="A274" s="4"/>
      <c r="B274" s="4"/>
      <c r="C274" s="4"/>
      <c r="E274" s="7"/>
    </row>
    <row r="275" spans="1:5" ht="13.2" x14ac:dyDescent="0.25">
      <c r="A275" s="4"/>
      <c r="B275" s="4"/>
      <c r="C275" s="4"/>
      <c r="E275" s="7"/>
    </row>
    <row r="276" spans="1:5" ht="13.2" x14ac:dyDescent="0.25">
      <c r="A276" s="4"/>
      <c r="B276" s="4"/>
      <c r="C276" s="4"/>
      <c r="E276" s="7"/>
    </row>
    <row r="277" spans="1:5" ht="13.2" x14ac:dyDescent="0.25">
      <c r="A277" s="4"/>
      <c r="B277" s="4"/>
      <c r="C277" s="4"/>
      <c r="E277" s="7"/>
    </row>
    <row r="278" spans="1:5" ht="13.2" x14ac:dyDescent="0.25">
      <c r="A278" s="4"/>
      <c r="B278" s="4"/>
      <c r="C278" s="4"/>
      <c r="E278" s="7"/>
    </row>
    <row r="279" spans="1:5" ht="13.2" x14ac:dyDescent="0.25">
      <c r="A279" s="4"/>
      <c r="B279" s="4"/>
      <c r="C279" s="4"/>
      <c r="E279" s="7"/>
    </row>
    <row r="280" spans="1:5" ht="13.2" x14ac:dyDescent="0.25">
      <c r="A280" s="4"/>
      <c r="B280" s="4"/>
      <c r="C280" s="4"/>
      <c r="E280" s="7"/>
    </row>
    <row r="281" spans="1:5" ht="13.2" x14ac:dyDescent="0.25">
      <c r="A281" s="4"/>
      <c r="B281" s="4"/>
      <c r="C281" s="4"/>
      <c r="E281" s="7"/>
    </row>
    <row r="282" spans="1:5" ht="13.2" x14ac:dyDescent="0.25">
      <c r="A282" s="4"/>
      <c r="B282" s="4"/>
      <c r="C282" s="4"/>
      <c r="E282" s="7"/>
    </row>
    <row r="283" spans="1:5" ht="13.2" x14ac:dyDescent="0.25">
      <c r="A283" s="4"/>
      <c r="B283" s="4"/>
      <c r="C283" s="4"/>
      <c r="E283" s="7"/>
    </row>
    <row r="284" spans="1:5" ht="13.2" x14ac:dyDescent="0.25">
      <c r="A284" s="4"/>
      <c r="B284" s="4"/>
      <c r="C284" s="4"/>
      <c r="E284" s="7"/>
    </row>
    <row r="285" spans="1:5" ht="13.2" x14ac:dyDescent="0.25">
      <c r="A285" s="4"/>
      <c r="B285" s="4"/>
      <c r="C285" s="4"/>
      <c r="E285" s="7"/>
    </row>
    <row r="286" spans="1:5" ht="13.2" x14ac:dyDescent="0.25">
      <c r="A286" s="4"/>
      <c r="B286" s="4"/>
      <c r="C286" s="4"/>
      <c r="E286" s="7"/>
    </row>
    <row r="287" spans="1:5" ht="13.2" x14ac:dyDescent="0.25">
      <c r="A287" s="4"/>
      <c r="B287" s="4"/>
      <c r="C287" s="4"/>
      <c r="E287" s="7"/>
    </row>
    <row r="288" spans="1:5" ht="13.2" x14ac:dyDescent="0.25">
      <c r="A288" s="4"/>
      <c r="B288" s="4"/>
      <c r="C288" s="4"/>
      <c r="E288" s="7"/>
    </row>
    <row r="289" spans="1:5" ht="13.2" x14ac:dyDescent="0.25">
      <c r="A289" s="4"/>
      <c r="B289" s="4"/>
      <c r="C289" s="4"/>
      <c r="E289" s="7"/>
    </row>
    <row r="290" spans="1:5" ht="13.2" x14ac:dyDescent="0.25">
      <c r="A290" s="4"/>
      <c r="B290" s="4"/>
      <c r="C290" s="4"/>
      <c r="E290" s="7"/>
    </row>
    <row r="291" spans="1:5" ht="13.2" x14ac:dyDescent="0.25">
      <c r="A291" s="4"/>
      <c r="B291" s="4"/>
      <c r="C291" s="4"/>
      <c r="E291" s="7"/>
    </row>
    <row r="292" spans="1:5" ht="13.2" x14ac:dyDescent="0.25">
      <c r="A292" s="4"/>
      <c r="B292" s="4"/>
      <c r="C292" s="4"/>
      <c r="E292" s="7"/>
    </row>
    <row r="293" spans="1:5" ht="13.2" x14ac:dyDescent="0.25">
      <c r="A293" s="4"/>
      <c r="B293" s="4"/>
      <c r="C293" s="4"/>
      <c r="E293" s="7"/>
    </row>
    <row r="294" spans="1:5" ht="13.2" x14ac:dyDescent="0.25">
      <c r="A294" s="4"/>
      <c r="B294" s="4"/>
      <c r="C294" s="4"/>
      <c r="E294" s="7"/>
    </row>
    <row r="295" spans="1:5" ht="13.2" x14ac:dyDescent="0.25">
      <c r="A295" s="4"/>
      <c r="B295" s="4"/>
      <c r="C295" s="4"/>
      <c r="E295" s="7"/>
    </row>
    <row r="296" spans="1:5" ht="13.2" x14ac:dyDescent="0.25">
      <c r="A296" s="4"/>
      <c r="B296" s="4"/>
      <c r="C296" s="4"/>
      <c r="E296" s="7"/>
    </row>
    <row r="297" spans="1:5" ht="13.2" x14ac:dyDescent="0.25">
      <c r="A297" s="4"/>
      <c r="B297" s="4"/>
      <c r="C297" s="4"/>
      <c r="E297" s="7"/>
    </row>
    <row r="298" spans="1:5" ht="13.2" x14ac:dyDescent="0.25">
      <c r="A298" s="4"/>
      <c r="B298" s="4"/>
      <c r="C298" s="4"/>
      <c r="E298" s="7"/>
    </row>
    <row r="299" spans="1:5" ht="13.2" x14ac:dyDescent="0.25">
      <c r="A299" s="4"/>
      <c r="B299" s="4"/>
      <c r="C299" s="4"/>
      <c r="E299" s="7"/>
    </row>
    <row r="300" spans="1:5" ht="13.2" x14ac:dyDescent="0.25">
      <c r="A300" s="4"/>
      <c r="B300" s="4"/>
      <c r="C300" s="4"/>
      <c r="E300" s="7"/>
    </row>
    <row r="301" spans="1:5" ht="13.2" x14ac:dyDescent="0.25">
      <c r="A301" s="4"/>
      <c r="B301" s="4"/>
      <c r="C301" s="4"/>
      <c r="E301" s="7"/>
    </row>
    <row r="302" spans="1:5" ht="13.2" x14ac:dyDescent="0.25">
      <c r="A302" s="4"/>
      <c r="B302" s="4"/>
      <c r="C302" s="4"/>
      <c r="E302" s="7"/>
    </row>
    <row r="303" spans="1:5" ht="13.2" x14ac:dyDescent="0.25">
      <c r="A303" s="4"/>
      <c r="B303" s="4"/>
      <c r="C303" s="4"/>
      <c r="E303" s="7"/>
    </row>
    <row r="304" spans="1:5" ht="13.2" x14ac:dyDescent="0.25">
      <c r="A304" s="4"/>
      <c r="B304" s="4"/>
      <c r="C304" s="4"/>
      <c r="E304" s="7"/>
    </row>
    <row r="305" spans="1:5" ht="13.2" x14ac:dyDescent="0.25">
      <c r="A305" s="4"/>
      <c r="B305" s="4"/>
      <c r="C305" s="4"/>
      <c r="E305" s="7"/>
    </row>
    <row r="306" spans="1:5" ht="13.2" x14ac:dyDescent="0.25">
      <c r="A306" s="4"/>
      <c r="B306" s="4"/>
      <c r="C306" s="4"/>
      <c r="E306" s="7"/>
    </row>
    <row r="307" spans="1:5" ht="13.2" x14ac:dyDescent="0.25">
      <c r="A307" s="4"/>
      <c r="B307" s="4"/>
      <c r="C307" s="4"/>
      <c r="E307" s="7"/>
    </row>
    <row r="308" spans="1:5" ht="13.2" x14ac:dyDescent="0.25">
      <c r="A308" s="4"/>
      <c r="B308" s="4"/>
      <c r="C308" s="4"/>
      <c r="E308" s="7"/>
    </row>
    <row r="309" spans="1:5" ht="13.2" x14ac:dyDescent="0.25">
      <c r="A309" s="4"/>
      <c r="B309" s="4"/>
      <c r="C309" s="4"/>
      <c r="E309" s="7"/>
    </row>
    <row r="310" spans="1:5" ht="13.2" x14ac:dyDescent="0.25">
      <c r="A310" s="4"/>
      <c r="B310" s="4"/>
      <c r="C310" s="4"/>
      <c r="E310" s="7"/>
    </row>
    <row r="311" spans="1:5" ht="13.2" x14ac:dyDescent="0.25">
      <c r="A311" s="4"/>
      <c r="B311" s="4"/>
      <c r="C311" s="4"/>
      <c r="E311" s="7"/>
    </row>
    <row r="312" spans="1:5" ht="13.2" x14ac:dyDescent="0.25">
      <c r="A312" s="4"/>
      <c r="B312" s="4"/>
      <c r="C312" s="4"/>
      <c r="E312" s="7"/>
    </row>
    <row r="313" spans="1:5" ht="13.2" x14ac:dyDescent="0.25">
      <c r="A313" s="4"/>
      <c r="B313" s="4"/>
      <c r="C313" s="4"/>
      <c r="E313" s="7"/>
    </row>
    <row r="314" spans="1:5" ht="13.2" x14ac:dyDescent="0.25">
      <c r="A314" s="4"/>
      <c r="B314" s="4"/>
      <c r="C314" s="4"/>
      <c r="E314" s="7"/>
    </row>
    <row r="315" spans="1:5" ht="13.2" x14ac:dyDescent="0.25">
      <c r="A315" s="4"/>
      <c r="B315" s="4"/>
      <c r="C315" s="4"/>
      <c r="E315" s="7"/>
    </row>
    <row r="316" spans="1:5" ht="13.2" x14ac:dyDescent="0.25">
      <c r="A316" s="4"/>
      <c r="B316" s="4"/>
      <c r="C316" s="4"/>
      <c r="E316" s="7"/>
    </row>
    <row r="317" spans="1:5" ht="13.2" x14ac:dyDescent="0.25">
      <c r="A317" s="4"/>
      <c r="B317" s="4"/>
      <c r="C317" s="4"/>
      <c r="E317" s="7"/>
    </row>
    <row r="318" spans="1:5" ht="13.2" x14ac:dyDescent="0.25">
      <c r="A318" s="4"/>
      <c r="B318" s="4"/>
      <c r="C318" s="4"/>
      <c r="E318" s="7"/>
    </row>
    <row r="319" spans="1:5" ht="13.2" x14ac:dyDescent="0.25">
      <c r="A319" s="4"/>
      <c r="B319" s="4"/>
      <c r="C319" s="4"/>
      <c r="E319" s="7"/>
    </row>
    <row r="320" spans="1:5" ht="13.2" x14ac:dyDescent="0.25">
      <c r="A320" s="4"/>
      <c r="B320" s="4"/>
      <c r="C320" s="4"/>
      <c r="E320" s="7"/>
    </row>
    <row r="321" spans="1:5" ht="13.2" x14ac:dyDescent="0.25">
      <c r="A321" s="4"/>
      <c r="B321" s="4"/>
      <c r="C321" s="4"/>
      <c r="E321" s="7"/>
    </row>
    <row r="322" spans="1:5" ht="13.2" x14ac:dyDescent="0.25">
      <c r="A322" s="4"/>
      <c r="B322" s="4"/>
      <c r="C322" s="4"/>
      <c r="E322" s="7"/>
    </row>
    <row r="323" spans="1:5" ht="13.2" x14ac:dyDescent="0.25">
      <c r="A323" s="4"/>
      <c r="B323" s="4"/>
      <c r="C323" s="4"/>
      <c r="E323" s="7"/>
    </row>
    <row r="324" spans="1:5" ht="13.2" x14ac:dyDescent="0.25">
      <c r="A324" s="4"/>
      <c r="B324" s="4"/>
      <c r="C324" s="4"/>
      <c r="E324" s="7"/>
    </row>
    <row r="325" spans="1:5" ht="13.2" x14ac:dyDescent="0.25">
      <c r="A325" s="4"/>
      <c r="B325" s="4"/>
      <c r="C325" s="4"/>
      <c r="E325" s="7"/>
    </row>
    <row r="326" spans="1:5" ht="13.2" x14ac:dyDescent="0.25">
      <c r="A326" s="4"/>
      <c r="B326" s="4"/>
      <c r="C326" s="4"/>
      <c r="E326" s="7"/>
    </row>
    <row r="327" spans="1:5" ht="13.2" x14ac:dyDescent="0.25">
      <c r="A327" s="4"/>
      <c r="B327" s="4"/>
      <c r="C327" s="4"/>
      <c r="E327" s="7"/>
    </row>
    <row r="328" spans="1:5" ht="13.2" x14ac:dyDescent="0.25">
      <c r="A328" s="4"/>
      <c r="B328" s="4"/>
      <c r="C328" s="4"/>
      <c r="E328" s="7"/>
    </row>
    <row r="329" spans="1:5" ht="13.2" x14ac:dyDescent="0.25">
      <c r="A329" s="4"/>
      <c r="B329" s="4"/>
      <c r="C329" s="4"/>
      <c r="E329" s="7"/>
    </row>
    <row r="330" spans="1:5" ht="13.2" x14ac:dyDescent="0.25">
      <c r="A330" s="4"/>
      <c r="B330" s="4"/>
      <c r="C330" s="4"/>
      <c r="E330" s="7"/>
    </row>
    <row r="331" spans="1:5" ht="13.2" x14ac:dyDescent="0.25">
      <c r="A331" s="4"/>
      <c r="B331" s="4"/>
      <c r="C331" s="4"/>
      <c r="E331" s="7"/>
    </row>
    <row r="332" spans="1:5" ht="13.2" x14ac:dyDescent="0.25">
      <c r="A332" s="4"/>
      <c r="B332" s="4"/>
      <c r="C332" s="4"/>
      <c r="E332" s="7"/>
    </row>
    <row r="333" spans="1:5" ht="13.2" x14ac:dyDescent="0.25">
      <c r="A333" s="4"/>
      <c r="B333" s="4"/>
      <c r="C333" s="4"/>
      <c r="E333" s="7"/>
    </row>
    <row r="334" spans="1:5" ht="13.2" x14ac:dyDescent="0.25">
      <c r="A334" s="4"/>
      <c r="B334" s="4"/>
      <c r="C334" s="4"/>
      <c r="E334" s="7"/>
    </row>
    <row r="335" spans="1:5" ht="13.2" x14ac:dyDescent="0.25">
      <c r="E335" s="13"/>
    </row>
    <row r="336" spans="1:5" ht="13.2" x14ac:dyDescent="0.25">
      <c r="E336" s="13"/>
    </row>
    <row r="337" spans="5:5" ht="13.2" x14ac:dyDescent="0.25">
      <c r="E337" s="13"/>
    </row>
    <row r="338" spans="5:5" ht="13.2" x14ac:dyDescent="0.25">
      <c r="E338" s="13"/>
    </row>
    <row r="339" spans="5:5" ht="13.2" x14ac:dyDescent="0.25">
      <c r="E339" s="13"/>
    </row>
    <row r="340" spans="5:5" ht="13.2" x14ac:dyDescent="0.25">
      <c r="E340" s="13"/>
    </row>
    <row r="341" spans="5:5" ht="13.2" x14ac:dyDescent="0.25">
      <c r="E341" s="13"/>
    </row>
    <row r="342" spans="5:5" ht="13.2" x14ac:dyDescent="0.25">
      <c r="E342" s="13"/>
    </row>
    <row r="343" spans="5:5" ht="13.2" x14ac:dyDescent="0.25">
      <c r="E343" s="13"/>
    </row>
    <row r="344" spans="5:5" ht="13.2" x14ac:dyDescent="0.25">
      <c r="E344" s="13"/>
    </row>
    <row r="345" spans="5:5" ht="13.2" x14ac:dyDescent="0.25">
      <c r="E345" s="13"/>
    </row>
    <row r="346" spans="5:5" ht="13.2" x14ac:dyDescent="0.25">
      <c r="E346" s="13"/>
    </row>
    <row r="347" spans="5:5" ht="13.2" x14ac:dyDescent="0.25">
      <c r="E347" s="13"/>
    </row>
    <row r="348" spans="5:5" ht="13.2" x14ac:dyDescent="0.25">
      <c r="E348" s="13"/>
    </row>
    <row r="349" spans="5:5" ht="13.2" x14ac:dyDescent="0.25">
      <c r="E349" s="13"/>
    </row>
    <row r="350" spans="5:5" ht="13.2" x14ac:dyDescent="0.25">
      <c r="E350" s="13"/>
    </row>
    <row r="351" spans="5:5" ht="13.2" x14ac:dyDescent="0.25">
      <c r="E351" s="13"/>
    </row>
    <row r="352" spans="5:5" ht="13.2" x14ac:dyDescent="0.25">
      <c r="E352" s="13"/>
    </row>
    <row r="353" spans="5:5" ht="13.2" x14ac:dyDescent="0.25">
      <c r="E353" s="13"/>
    </row>
    <row r="354" spans="5:5" ht="13.2" x14ac:dyDescent="0.25">
      <c r="E354" s="13"/>
    </row>
    <row r="355" spans="5:5" ht="13.2" x14ac:dyDescent="0.25">
      <c r="E355" s="13"/>
    </row>
    <row r="356" spans="5:5" ht="13.2" x14ac:dyDescent="0.25">
      <c r="E356" s="13"/>
    </row>
    <row r="357" spans="5:5" ht="13.2" x14ac:dyDescent="0.25">
      <c r="E357" s="13"/>
    </row>
    <row r="358" spans="5:5" ht="13.2" x14ac:dyDescent="0.25">
      <c r="E358" s="13"/>
    </row>
    <row r="359" spans="5:5" ht="13.2" x14ac:dyDescent="0.25">
      <c r="E359" s="13"/>
    </row>
    <row r="360" spans="5:5" ht="13.2" x14ac:dyDescent="0.25">
      <c r="E360" s="13"/>
    </row>
    <row r="361" spans="5:5" ht="13.2" x14ac:dyDescent="0.25">
      <c r="E361" s="13"/>
    </row>
    <row r="362" spans="5:5" ht="13.2" x14ac:dyDescent="0.25">
      <c r="E362" s="13"/>
    </row>
    <row r="363" spans="5:5" ht="13.2" x14ac:dyDescent="0.25">
      <c r="E363" s="13"/>
    </row>
    <row r="364" spans="5:5" ht="13.2" x14ac:dyDescent="0.25">
      <c r="E364" s="13"/>
    </row>
    <row r="365" spans="5:5" ht="13.2" x14ac:dyDescent="0.25">
      <c r="E365" s="13"/>
    </row>
    <row r="366" spans="5:5" ht="13.2" x14ac:dyDescent="0.25">
      <c r="E366" s="13"/>
    </row>
    <row r="367" spans="5:5" ht="13.2" x14ac:dyDescent="0.25">
      <c r="E367" s="13"/>
    </row>
    <row r="368" spans="5:5" ht="13.2" x14ac:dyDescent="0.25">
      <c r="E368" s="13"/>
    </row>
    <row r="369" spans="5:5" ht="13.2" x14ac:dyDescent="0.25">
      <c r="E369" s="13"/>
    </row>
    <row r="370" spans="5:5" ht="13.2" x14ac:dyDescent="0.25">
      <c r="E370" s="13"/>
    </row>
    <row r="371" spans="5:5" ht="13.2" x14ac:dyDescent="0.25">
      <c r="E371" s="13"/>
    </row>
    <row r="372" spans="5:5" ht="13.2" x14ac:dyDescent="0.25">
      <c r="E372" s="13"/>
    </row>
    <row r="373" spans="5:5" ht="13.2" x14ac:dyDescent="0.25">
      <c r="E373" s="13"/>
    </row>
    <row r="374" spans="5:5" ht="13.2" x14ac:dyDescent="0.25">
      <c r="E374" s="13"/>
    </row>
    <row r="375" spans="5:5" ht="13.2" x14ac:dyDescent="0.25">
      <c r="E375" s="13"/>
    </row>
    <row r="376" spans="5:5" ht="13.2" x14ac:dyDescent="0.25">
      <c r="E376" s="13"/>
    </row>
    <row r="377" spans="5:5" ht="13.2" x14ac:dyDescent="0.25">
      <c r="E377" s="13"/>
    </row>
    <row r="378" spans="5:5" ht="13.2" x14ac:dyDescent="0.25">
      <c r="E378" s="13"/>
    </row>
    <row r="379" spans="5:5" ht="13.2" x14ac:dyDescent="0.25">
      <c r="E379" s="13"/>
    </row>
    <row r="380" spans="5:5" ht="13.2" x14ac:dyDescent="0.25">
      <c r="E380" s="13"/>
    </row>
    <row r="381" spans="5:5" ht="13.2" x14ac:dyDescent="0.25">
      <c r="E381" s="13"/>
    </row>
    <row r="382" spans="5:5" ht="13.2" x14ac:dyDescent="0.25">
      <c r="E382" s="13"/>
    </row>
    <row r="383" spans="5:5" ht="13.2" x14ac:dyDescent="0.25">
      <c r="E383" s="13"/>
    </row>
    <row r="384" spans="5:5" ht="13.2" x14ac:dyDescent="0.25">
      <c r="E384" s="13"/>
    </row>
    <row r="385" spans="5:5" ht="13.2" x14ac:dyDescent="0.25">
      <c r="E385" s="13"/>
    </row>
    <row r="386" spans="5:5" ht="13.2" x14ac:dyDescent="0.25">
      <c r="E386" s="13"/>
    </row>
    <row r="387" spans="5:5" ht="13.2" x14ac:dyDescent="0.25">
      <c r="E387" s="13"/>
    </row>
    <row r="388" spans="5:5" ht="13.2" x14ac:dyDescent="0.25">
      <c r="E388" s="13"/>
    </row>
    <row r="389" spans="5:5" ht="13.2" x14ac:dyDescent="0.25">
      <c r="E389" s="13"/>
    </row>
    <row r="390" spans="5:5" ht="13.2" x14ac:dyDescent="0.25">
      <c r="E390" s="13"/>
    </row>
    <row r="391" spans="5:5" ht="13.2" x14ac:dyDescent="0.25">
      <c r="E391" s="13"/>
    </row>
    <row r="392" spans="5:5" ht="13.2" x14ac:dyDescent="0.25">
      <c r="E392" s="13"/>
    </row>
    <row r="393" spans="5:5" ht="13.2" x14ac:dyDescent="0.25">
      <c r="E393" s="13"/>
    </row>
    <row r="394" spans="5:5" ht="13.2" x14ac:dyDescent="0.25">
      <c r="E394" s="13"/>
    </row>
    <row r="395" spans="5:5" ht="13.2" x14ac:dyDescent="0.25">
      <c r="E395" s="13"/>
    </row>
    <row r="396" spans="5:5" ht="13.2" x14ac:dyDescent="0.25">
      <c r="E396" s="13"/>
    </row>
    <row r="397" spans="5:5" ht="13.2" x14ac:dyDescent="0.25">
      <c r="E397" s="13"/>
    </row>
    <row r="398" spans="5:5" ht="13.2" x14ac:dyDescent="0.25">
      <c r="E398" s="13"/>
    </row>
    <row r="399" spans="5:5" ht="13.2" x14ac:dyDescent="0.25">
      <c r="E399" s="13"/>
    </row>
    <row r="400" spans="5:5" ht="13.2" x14ac:dyDescent="0.25">
      <c r="E400" s="13"/>
    </row>
    <row r="401" spans="5:5" ht="13.2" x14ac:dyDescent="0.25">
      <c r="E401" s="13"/>
    </row>
    <row r="402" spans="5:5" ht="13.2" x14ac:dyDescent="0.25">
      <c r="E402" s="13"/>
    </row>
    <row r="403" spans="5:5" ht="13.2" x14ac:dyDescent="0.25">
      <c r="E403" s="13"/>
    </row>
    <row r="404" spans="5:5" ht="13.2" x14ac:dyDescent="0.25">
      <c r="E404" s="13"/>
    </row>
    <row r="405" spans="5:5" ht="13.2" x14ac:dyDescent="0.25">
      <c r="E405" s="13"/>
    </row>
    <row r="406" spans="5:5" ht="13.2" x14ac:dyDescent="0.25">
      <c r="E406" s="13"/>
    </row>
    <row r="407" spans="5:5" ht="13.2" x14ac:dyDescent="0.25">
      <c r="E407" s="13"/>
    </row>
    <row r="408" spans="5:5" ht="13.2" x14ac:dyDescent="0.25">
      <c r="E408" s="13"/>
    </row>
    <row r="409" spans="5:5" ht="13.2" x14ac:dyDescent="0.25">
      <c r="E409" s="13"/>
    </row>
    <row r="410" spans="5:5" ht="13.2" x14ac:dyDescent="0.25">
      <c r="E410" s="13"/>
    </row>
    <row r="411" spans="5:5" ht="13.2" x14ac:dyDescent="0.25">
      <c r="E411" s="13"/>
    </row>
    <row r="412" spans="5:5" ht="13.2" x14ac:dyDescent="0.25">
      <c r="E412" s="13"/>
    </row>
    <row r="413" spans="5:5" ht="13.2" x14ac:dyDescent="0.25">
      <c r="E413" s="13"/>
    </row>
    <row r="414" spans="5:5" ht="13.2" x14ac:dyDescent="0.25">
      <c r="E414" s="13"/>
    </row>
    <row r="415" spans="5:5" ht="13.2" x14ac:dyDescent="0.25">
      <c r="E415" s="13"/>
    </row>
    <row r="416" spans="5:5" ht="13.2" x14ac:dyDescent="0.25">
      <c r="E416" s="13"/>
    </row>
    <row r="417" spans="5:5" ht="13.2" x14ac:dyDescent="0.25">
      <c r="E417" s="13"/>
    </row>
    <row r="418" spans="5:5" ht="13.2" x14ac:dyDescent="0.25">
      <c r="E418" s="13"/>
    </row>
    <row r="419" spans="5:5" ht="13.2" x14ac:dyDescent="0.25">
      <c r="E419" s="13"/>
    </row>
    <row r="420" spans="5:5" ht="13.2" x14ac:dyDescent="0.25">
      <c r="E420" s="13"/>
    </row>
    <row r="421" spans="5:5" ht="13.2" x14ac:dyDescent="0.25">
      <c r="E421" s="13"/>
    </row>
    <row r="422" spans="5:5" ht="13.2" x14ac:dyDescent="0.25">
      <c r="E422" s="13"/>
    </row>
    <row r="423" spans="5:5" ht="13.2" x14ac:dyDescent="0.25">
      <c r="E423" s="13"/>
    </row>
    <row r="424" spans="5:5" ht="13.2" x14ac:dyDescent="0.25">
      <c r="E424" s="13"/>
    </row>
    <row r="425" spans="5:5" ht="13.2" x14ac:dyDescent="0.25">
      <c r="E425" s="13"/>
    </row>
    <row r="426" spans="5:5" ht="13.2" x14ac:dyDescent="0.25">
      <c r="E426" s="13"/>
    </row>
    <row r="427" spans="5:5" ht="13.2" x14ac:dyDescent="0.25">
      <c r="E427" s="13"/>
    </row>
    <row r="428" spans="5:5" ht="13.2" x14ac:dyDescent="0.25">
      <c r="E428" s="13"/>
    </row>
    <row r="429" spans="5:5" ht="13.2" x14ac:dyDescent="0.25">
      <c r="E429" s="13"/>
    </row>
    <row r="430" spans="5:5" ht="13.2" x14ac:dyDescent="0.25">
      <c r="E430" s="13"/>
    </row>
    <row r="431" spans="5:5" ht="13.2" x14ac:dyDescent="0.25">
      <c r="E431" s="13"/>
    </row>
    <row r="432" spans="5:5" ht="13.2" x14ac:dyDescent="0.25">
      <c r="E432" s="13"/>
    </row>
    <row r="433" spans="5:5" ht="13.2" x14ac:dyDescent="0.25">
      <c r="E433" s="13"/>
    </row>
    <row r="434" spans="5:5" ht="13.2" x14ac:dyDescent="0.25">
      <c r="E434" s="13"/>
    </row>
    <row r="435" spans="5:5" ht="13.2" x14ac:dyDescent="0.25">
      <c r="E435" s="13"/>
    </row>
    <row r="436" spans="5:5" ht="13.2" x14ac:dyDescent="0.25">
      <c r="E436" s="13"/>
    </row>
    <row r="437" spans="5:5" ht="13.2" x14ac:dyDescent="0.25">
      <c r="E437" s="13"/>
    </row>
    <row r="438" spans="5:5" ht="13.2" x14ac:dyDescent="0.25">
      <c r="E438" s="13"/>
    </row>
    <row r="439" spans="5:5" ht="13.2" x14ac:dyDescent="0.25">
      <c r="E439" s="13"/>
    </row>
    <row r="440" spans="5:5" ht="13.2" x14ac:dyDescent="0.25">
      <c r="E440" s="13"/>
    </row>
    <row r="441" spans="5:5" ht="13.2" x14ac:dyDescent="0.25">
      <c r="E441" s="13"/>
    </row>
    <row r="442" spans="5:5" ht="13.2" x14ac:dyDescent="0.25">
      <c r="E442" s="13"/>
    </row>
    <row r="443" spans="5:5" ht="13.2" x14ac:dyDescent="0.25">
      <c r="E443" s="13"/>
    </row>
    <row r="444" spans="5:5" ht="13.2" x14ac:dyDescent="0.25">
      <c r="E444" s="13"/>
    </row>
    <row r="445" spans="5:5" ht="13.2" x14ac:dyDescent="0.25">
      <c r="E445" s="13"/>
    </row>
    <row r="446" spans="5:5" ht="13.2" x14ac:dyDescent="0.25">
      <c r="E446" s="13"/>
    </row>
    <row r="447" spans="5:5" ht="13.2" x14ac:dyDescent="0.25">
      <c r="E447" s="13"/>
    </row>
    <row r="448" spans="5:5" ht="13.2" x14ac:dyDescent="0.25">
      <c r="E448" s="13"/>
    </row>
    <row r="449" spans="5:5" ht="13.2" x14ac:dyDescent="0.25">
      <c r="E449" s="13"/>
    </row>
    <row r="450" spans="5:5" ht="13.2" x14ac:dyDescent="0.25">
      <c r="E450" s="13"/>
    </row>
    <row r="451" spans="5:5" ht="13.2" x14ac:dyDescent="0.25">
      <c r="E451" s="13"/>
    </row>
    <row r="452" spans="5:5" ht="13.2" x14ac:dyDescent="0.25">
      <c r="E452" s="13"/>
    </row>
    <row r="453" spans="5:5" ht="13.2" x14ac:dyDescent="0.25">
      <c r="E453" s="13"/>
    </row>
    <row r="454" spans="5:5" ht="13.2" x14ac:dyDescent="0.25">
      <c r="E454" s="13"/>
    </row>
    <row r="455" spans="5:5" ht="13.2" x14ac:dyDescent="0.25">
      <c r="E455" s="13"/>
    </row>
    <row r="456" spans="5:5" ht="13.2" x14ac:dyDescent="0.25">
      <c r="E456" s="13"/>
    </row>
    <row r="457" spans="5:5" ht="13.2" x14ac:dyDescent="0.25">
      <c r="E457" s="13"/>
    </row>
    <row r="458" spans="5:5" ht="13.2" x14ac:dyDescent="0.25">
      <c r="E458" s="13"/>
    </row>
    <row r="459" spans="5:5" ht="13.2" x14ac:dyDescent="0.25">
      <c r="E459" s="13"/>
    </row>
    <row r="460" spans="5:5" ht="13.2" x14ac:dyDescent="0.25">
      <c r="E460" s="13"/>
    </row>
    <row r="461" spans="5:5" ht="13.2" x14ac:dyDescent="0.25">
      <c r="E461" s="13"/>
    </row>
    <row r="462" spans="5:5" ht="13.2" x14ac:dyDescent="0.25">
      <c r="E462" s="13"/>
    </row>
    <row r="463" spans="5:5" ht="13.2" x14ac:dyDescent="0.25">
      <c r="E463" s="13"/>
    </row>
    <row r="464" spans="5:5" ht="13.2" x14ac:dyDescent="0.25">
      <c r="E464" s="13"/>
    </row>
    <row r="465" spans="5:5" ht="13.2" x14ac:dyDescent="0.25">
      <c r="E465" s="13"/>
    </row>
    <row r="466" spans="5:5" ht="13.2" x14ac:dyDescent="0.25">
      <c r="E466" s="13"/>
    </row>
    <row r="467" spans="5:5" ht="13.2" x14ac:dyDescent="0.25">
      <c r="E467" s="13"/>
    </row>
    <row r="468" spans="5:5" ht="13.2" x14ac:dyDescent="0.25">
      <c r="E468" s="13"/>
    </row>
    <row r="469" spans="5:5" ht="13.2" x14ac:dyDescent="0.25">
      <c r="E469" s="13"/>
    </row>
    <row r="470" spans="5:5" ht="13.2" x14ac:dyDescent="0.25">
      <c r="E470" s="13"/>
    </row>
    <row r="471" spans="5:5" ht="13.2" x14ac:dyDescent="0.25">
      <c r="E471" s="13"/>
    </row>
    <row r="472" spans="5:5" ht="13.2" x14ac:dyDescent="0.25">
      <c r="E472" s="13"/>
    </row>
    <row r="473" spans="5:5" ht="13.2" x14ac:dyDescent="0.25">
      <c r="E473" s="13"/>
    </row>
    <row r="474" spans="5:5" ht="13.2" x14ac:dyDescent="0.25">
      <c r="E474" s="13"/>
    </row>
    <row r="475" spans="5:5" ht="13.2" x14ac:dyDescent="0.25">
      <c r="E475" s="13"/>
    </row>
    <row r="476" spans="5:5" ht="13.2" x14ac:dyDescent="0.25">
      <c r="E476" s="13"/>
    </row>
    <row r="477" spans="5:5" ht="13.2" x14ac:dyDescent="0.25">
      <c r="E477" s="13"/>
    </row>
    <row r="478" spans="5:5" ht="13.2" x14ac:dyDescent="0.25">
      <c r="E478" s="13"/>
    </row>
    <row r="479" spans="5:5" ht="13.2" x14ac:dyDescent="0.25">
      <c r="E479" s="13"/>
    </row>
    <row r="480" spans="5:5" ht="13.2" x14ac:dyDescent="0.25">
      <c r="E480" s="13"/>
    </row>
    <row r="481" spans="5:5" ht="13.2" x14ac:dyDescent="0.25">
      <c r="E481" s="13"/>
    </row>
    <row r="482" spans="5:5" ht="13.2" x14ac:dyDescent="0.25">
      <c r="E482" s="13"/>
    </row>
    <row r="483" spans="5:5" ht="13.2" x14ac:dyDescent="0.25">
      <c r="E483" s="13"/>
    </row>
    <row r="484" spans="5:5" ht="13.2" x14ac:dyDescent="0.25">
      <c r="E484" s="13"/>
    </row>
    <row r="485" spans="5:5" ht="13.2" x14ac:dyDescent="0.25">
      <c r="E485" s="13"/>
    </row>
    <row r="486" spans="5:5" ht="13.2" x14ac:dyDescent="0.25">
      <c r="E486" s="13"/>
    </row>
    <row r="487" spans="5:5" ht="13.2" x14ac:dyDescent="0.25">
      <c r="E487" s="13"/>
    </row>
    <row r="488" spans="5:5" ht="13.2" x14ac:dyDescent="0.25">
      <c r="E488" s="13"/>
    </row>
    <row r="489" spans="5:5" ht="13.2" x14ac:dyDescent="0.25">
      <c r="E489" s="13"/>
    </row>
    <row r="490" spans="5:5" ht="13.2" x14ac:dyDescent="0.25">
      <c r="E490" s="13"/>
    </row>
    <row r="491" spans="5:5" ht="13.2" x14ac:dyDescent="0.25">
      <c r="E491" s="13"/>
    </row>
    <row r="492" spans="5:5" ht="13.2" x14ac:dyDescent="0.25">
      <c r="E492" s="13"/>
    </row>
    <row r="493" spans="5:5" ht="13.2" x14ac:dyDescent="0.25">
      <c r="E493" s="13"/>
    </row>
    <row r="494" spans="5:5" ht="13.2" x14ac:dyDescent="0.25">
      <c r="E494" s="13"/>
    </row>
    <row r="495" spans="5:5" ht="13.2" x14ac:dyDescent="0.25">
      <c r="E495" s="13"/>
    </row>
    <row r="496" spans="5:5" ht="13.2" x14ac:dyDescent="0.25">
      <c r="E496" s="13"/>
    </row>
    <row r="497" spans="5:5" ht="13.2" x14ac:dyDescent="0.25">
      <c r="E497" s="13"/>
    </row>
    <row r="498" spans="5:5" ht="13.2" x14ac:dyDescent="0.25">
      <c r="E498" s="13"/>
    </row>
    <row r="499" spans="5:5" ht="13.2" x14ac:dyDescent="0.25">
      <c r="E499" s="13"/>
    </row>
    <row r="500" spans="5:5" ht="13.2" x14ac:dyDescent="0.25">
      <c r="E500" s="13"/>
    </row>
    <row r="501" spans="5:5" ht="13.2" x14ac:dyDescent="0.25">
      <c r="E501" s="13"/>
    </row>
    <row r="502" spans="5:5" ht="13.2" x14ac:dyDescent="0.25">
      <c r="E502" s="13"/>
    </row>
    <row r="503" spans="5:5" ht="13.2" x14ac:dyDescent="0.25">
      <c r="E503" s="13"/>
    </row>
    <row r="504" spans="5:5" ht="13.2" x14ac:dyDescent="0.25">
      <c r="E504" s="13"/>
    </row>
    <row r="505" spans="5:5" ht="13.2" x14ac:dyDescent="0.25">
      <c r="E505" s="13"/>
    </row>
    <row r="506" spans="5:5" ht="13.2" x14ac:dyDescent="0.25">
      <c r="E506" s="13"/>
    </row>
    <row r="507" spans="5:5" ht="13.2" x14ac:dyDescent="0.25">
      <c r="E507" s="13"/>
    </row>
    <row r="508" spans="5:5" ht="13.2" x14ac:dyDescent="0.25">
      <c r="E508" s="13"/>
    </row>
    <row r="509" spans="5:5" ht="13.2" x14ac:dyDescent="0.25">
      <c r="E509" s="13"/>
    </row>
    <row r="510" spans="5:5" ht="13.2" x14ac:dyDescent="0.25">
      <c r="E510" s="13"/>
    </row>
    <row r="511" spans="5:5" ht="13.2" x14ac:dyDescent="0.25">
      <c r="E511" s="13"/>
    </row>
    <row r="512" spans="5:5" ht="13.2" x14ac:dyDescent="0.25">
      <c r="E512" s="13"/>
    </row>
    <row r="513" spans="5:5" ht="13.2" x14ac:dyDescent="0.25">
      <c r="E513" s="13"/>
    </row>
    <row r="514" spans="5:5" ht="13.2" x14ac:dyDescent="0.25">
      <c r="E514" s="13"/>
    </row>
    <row r="515" spans="5:5" ht="13.2" x14ac:dyDescent="0.25">
      <c r="E515" s="13"/>
    </row>
    <row r="516" spans="5:5" ht="13.2" x14ac:dyDescent="0.25">
      <c r="E516" s="13"/>
    </row>
    <row r="517" spans="5:5" ht="13.2" x14ac:dyDescent="0.25">
      <c r="E517" s="13"/>
    </row>
    <row r="518" spans="5:5" ht="13.2" x14ac:dyDescent="0.25">
      <c r="E518" s="13"/>
    </row>
    <row r="519" spans="5:5" ht="13.2" x14ac:dyDescent="0.25">
      <c r="E519" s="13"/>
    </row>
    <row r="520" spans="5:5" ht="13.2" x14ac:dyDescent="0.25">
      <c r="E520" s="13"/>
    </row>
    <row r="521" spans="5:5" ht="13.2" x14ac:dyDescent="0.25">
      <c r="E521" s="13"/>
    </row>
    <row r="522" spans="5:5" ht="13.2" x14ac:dyDescent="0.25">
      <c r="E522" s="13"/>
    </row>
    <row r="523" spans="5:5" ht="13.2" x14ac:dyDescent="0.25">
      <c r="E523" s="13"/>
    </row>
    <row r="524" spans="5:5" ht="13.2" x14ac:dyDescent="0.25">
      <c r="E524" s="13"/>
    </row>
    <row r="525" spans="5:5" ht="13.2" x14ac:dyDescent="0.25">
      <c r="E525" s="13"/>
    </row>
    <row r="526" spans="5:5" ht="13.2" x14ac:dyDescent="0.25">
      <c r="E526" s="13"/>
    </row>
    <row r="527" spans="5:5" ht="13.2" x14ac:dyDescent="0.25">
      <c r="E527" s="13"/>
    </row>
    <row r="528" spans="5:5" ht="13.2" x14ac:dyDescent="0.25">
      <c r="E528" s="13"/>
    </row>
    <row r="529" spans="5:5" ht="13.2" x14ac:dyDescent="0.25">
      <c r="E529" s="13"/>
    </row>
    <row r="530" spans="5:5" ht="13.2" x14ac:dyDescent="0.25">
      <c r="E530" s="13"/>
    </row>
    <row r="531" spans="5:5" ht="13.2" x14ac:dyDescent="0.25">
      <c r="E531" s="13"/>
    </row>
    <row r="532" spans="5:5" ht="13.2" x14ac:dyDescent="0.25">
      <c r="E532" s="13"/>
    </row>
    <row r="533" spans="5:5" ht="13.2" x14ac:dyDescent="0.25">
      <c r="E533" s="13"/>
    </row>
    <row r="534" spans="5:5" ht="13.2" x14ac:dyDescent="0.25">
      <c r="E534" s="13"/>
    </row>
    <row r="535" spans="5:5" ht="13.2" x14ac:dyDescent="0.25">
      <c r="E535" s="13"/>
    </row>
    <row r="536" spans="5:5" ht="13.2" x14ac:dyDescent="0.25">
      <c r="E536" s="13"/>
    </row>
    <row r="537" spans="5:5" ht="13.2" x14ac:dyDescent="0.25">
      <c r="E537" s="13"/>
    </row>
    <row r="538" spans="5:5" ht="13.2" x14ac:dyDescent="0.25">
      <c r="E538" s="13"/>
    </row>
    <row r="539" spans="5:5" ht="13.2" x14ac:dyDescent="0.25">
      <c r="E539" s="13"/>
    </row>
    <row r="540" spans="5:5" ht="13.2" x14ac:dyDescent="0.25">
      <c r="E540" s="13"/>
    </row>
    <row r="541" spans="5:5" ht="13.2" x14ac:dyDescent="0.25">
      <c r="E541" s="13"/>
    </row>
    <row r="542" spans="5:5" ht="13.2" x14ac:dyDescent="0.25">
      <c r="E542" s="13"/>
    </row>
    <row r="543" spans="5:5" ht="13.2" x14ac:dyDescent="0.25">
      <c r="E543" s="13"/>
    </row>
    <row r="544" spans="5:5" ht="13.2" x14ac:dyDescent="0.25">
      <c r="E544" s="13"/>
    </row>
    <row r="545" spans="5:5" ht="13.2" x14ac:dyDescent="0.25">
      <c r="E545" s="13"/>
    </row>
    <row r="546" spans="5:5" ht="13.2" x14ac:dyDescent="0.25">
      <c r="E546" s="13"/>
    </row>
    <row r="547" spans="5:5" ht="13.2" x14ac:dyDescent="0.25">
      <c r="E547" s="13"/>
    </row>
    <row r="548" spans="5:5" ht="13.2" x14ac:dyDescent="0.25">
      <c r="E548" s="13"/>
    </row>
    <row r="549" spans="5:5" ht="13.2" x14ac:dyDescent="0.25">
      <c r="E549" s="13"/>
    </row>
    <row r="550" spans="5:5" ht="13.2" x14ac:dyDescent="0.25">
      <c r="E550" s="13"/>
    </row>
    <row r="551" spans="5:5" ht="13.2" x14ac:dyDescent="0.25">
      <c r="E551" s="13"/>
    </row>
    <row r="552" spans="5:5" ht="13.2" x14ac:dyDescent="0.25">
      <c r="E552" s="13"/>
    </row>
    <row r="553" spans="5:5" ht="13.2" x14ac:dyDescent="0.25">
      <c r="E553" s="13"/>
    </row>
    <row r="554" spans="5:5" ht="13.2" x14ac:dyDescent="0.25">
      <c r="E554" s="13"/>
    </row>
    <row r="555" spans="5:5" ht="13.2" x14ac:dyDescent="0.25">
      <c r="E555" s="13"/>
    </row>
    <row r="556" spans="5:5" ht="13.2" x14ac:dyDescent="0.25">
      <c r="E556" s="13"/>
    </row>
    <row r="557" spans="5:5" ht="13.2" x14ac:dyDescent="0.25">
      <c r="E557" s="13"/>
    </row>
    <row r="558" spans="5:5" ht="13.2" x14ac:dyDescent="0.25">
      <c r="E558" s="13"/>
    </row>
    <row r="559" spans="5:5" ht="13.2" x14ac:dyDescent="0.25">
      <c r="E559" s="13"/>
    </row>
    <row r="560" spans="5:5" ht="13.2" x14ac:dyDescent="0.25">
      <c r="E560" s="13"/>
    </row>
    <row r="561" spans="5:5" ht="13.2" x14ac:dyDescent="0.25">
      <c r="E561" s="13"/>
    </row>
    <row r="562" spans="5:5" ht="13.2" x14ac:dyDescent="0.25">
      <c r="E562" s="13"/>
    </row>
    <row r="563" spans="5:5" ht="13.2" x14ac:dyDescent="0.25">
      <c r="E563" s="13"/>
    </row>
    <row r="564" spans="5:5" ht="13.2" x14ac:dyDescent="0.25">
      <c r="E564" s="13"/>
    </row>
    <row r="565" spans="5:5" ht="13.2" x14ac:dyDescent="0.25">
      <c r="E565" s="13"/>
    </row>
    <row r="566" spans="5:5" ht="13.2" x14ac:dyDescent="0.25">
      <c r="E566" s="13"/>
    </row>
    <row r="567" spans="5:5" ht="13.2" x14ac:dyDescent="0.25">
      <c r="E567" s="13"/>
    </row>
    <row r="568" spans="5:5" ht="13.2" x14ac:dyDescent="0.25">
      <c r="E568" s="13"/>
    </row>
    <row r="569" spans="5:5" ht="13.2" x14ac:dyDescent="0.25">
      <c r="E569" s="13"/>
    </row>
    <row r="570" spans="5:5" ht="13.2" x14ac:dyDescent="0.25">
      <c r="E570" s="13"/>
    </row>
    <row r="571" spans="5:5" ht="13.2" x14ac:dyDescent="0.25">
      <c r="E571" s="13"/>
    </row>
    <row r="572" spans="5:5" ht="13.2" x14ac:dyDescent="0.25">
      <c r="E572" s="13"/>
    </row>
    <row r="573" spans="5:5" ht="13.2" x14ac:dyDescent="0.25">
      <c r="E573" s="13"/>
    </row>
    <row r="574" spans="5:5" ht="13.2" x14ac:dyDescent="0.25">
      <c r="E574" s="13"/>
    </row>
    <row r="575" spans="5:5" ht="13.2" x14ac:dyDescent="0.25">
      <c r="E575" s="13"/>
    </row>
    <row r="576" spans="5:5" ht="13.2" x14ac:dyDescent="0.25">
      <c r="E576" s="13"/>
    </row>
    <row r="577" spans="5:5" ht="13.2" x14ac:dyDescent="0.25">
      <c r="E577" s="13"/>
    </row>
    <row r="578" spans="5:5" ht="13.2" x14ac:dyDescent="0.25">
      <c r="E578" s="13"/>
    </row>
    <row r="579" spans="5:5" ht="13.2" x14ac:dyDescent="0.25">
      <c r="E579" s="13"/>
    </row>
    <row r="580" spans="5:5" ht="13.2" x14ac:dyDescent="0.25">
      <c r="E580" s="13"/>
    </row>
    <row r="581" spans="5:5" ht="13.2" x14ac:dyDescent="0.25">
      <c r="E581" s="13"/>
    </row>
    <row r="582" spans="5:5" ht="13.2" x14ac:dyDescent="0.25">
      <c r="E582" s="13"/>
    </row>
    <row r="583" spans="5:5" ht="13.2" x14ac:dyDescent="0.25">
      <c r="E583" s="13"/>
    </row>
    <row r="584" spans="5:5" ht="13.2" x14ac:dyDescent="0.25">
      <c r="E584" s="13"/>
    </row>
    <row r="585" spans="5:5" ht="13.2" x14ac:dyDescent="0.25">
      <c r="E585" s="13"/>
    </row>
    <row r="586" spans="5:5" ht="13.2" x14ac:dyDescent="0.25">
      <c r="E586" s="13"/>
    </row>
    <row r="587" spans="5:5" ht="13.2" x14ac:dyDescent="0.25">
      <c r="E587" s="13"/>
    </row>
    <row r="588" spans="5:5" ht="13.2" x14ac:dyDescent="0.25">
      <c r="E588" s="13"/>
    </row>
    <row r="589" spans="5:5" ht="13.2" x14ac:dyDescent="0.25">
      <c r="E589" s="13"/>
    </row>
    <row r="590" spans="5:5" ht="13.2" x14ac:dyDescent="0.25">
      <c r="E590" s="13"/>
    </row>
    <row r="591" spans="5:5" ht="13.2" x14ac:dyDescent="0.25">
      <c r="E591" s="13"/>
    </row>
    <row r="592" spans="5:5" ht="13.2" x14ac:dyDescent="0.25">
      <c r="E592" s="13"/>
    </row>
    <row r="593" spans="5:5" ht="13.2" x14ac:dyDescent="0.25">
      <c r="E593" s="13"/>
    </row>
    <row r="594" spans="5:5" ht="13.2" x14ac:dyDescent="0.25">
      <c r="E594" s="13"/>
    </row>
    <row r="595" spans="5:5" ht="13.2" x14ac:dyDescent="0.25">
      <c r="E595" s="13"/>
    </row>
    <row r="596" spans="5:5" ht="13.2" x14ac:dyDescent="0.25">
      <c r="E596" s="13"/>
    </row>
    <row r="597" spans="5:5" ht="13.2" x14ac:dyDescent="0.25">
      <c r="E597" s="13"/>
    </row>
    <row r="598" spans="5:5" ht="13.2" x14ac:dyDescent="0.25">
      <c r="E598" s="13"/>
    </row>
    <row r="599" spans="5:5" ht="13.2" x14ac:dyDescent="0.25">
      <c r="E599" s="13"/>
    </row>
    <row r="600" spans="5:5" ht="13.2" x14ac:dyDescent="0.25">
      <c r="E600" s="13"/>
    </row>
    <row r="601" spans="5:5" ht="13.2" x14ac:dyDescent="0.25">
      <c r="E601" s="13"/>
    </row>
    <row r="602" spans="5:5" ht="13.2" x14ac:dyDescent="0.25">
      <c r="E602" s="13"/>
    </row>
    <row r="603" spans="5:5" ht="13.2" x14ac:dyDescent="0.25">
      <c r="E603" s="13"/>
    </row>
    <row r="604" spans="5:5" ht="13.2" x14ac:dyDescent="0.25">
      <c r="E604" s="13"/>
    </row>
    <row r="605" spans="5:5" ht="13.2" x14ac:dyDescent="0.25">
      <c r="E605" s="13"/>
    </row>
    <row r="606" spans="5:5" ht="13.2" x14ac:dyDescent="0.25">
      <c r="E606" s="13"/>
    </row>
    <row r="607" spans="5:5" ht="13.2" x14ac:dyDescent="0.25">
      <c r="E607" s="13"/>
    </row>
    <row r="608" spans="5:5" ht="13.2" x14ac:dyDescent="0.25">
      <c r="E608" s="13"/>
    </row>
    <row r="609" spans="5:5" ht="13.2" x14ac:dyDescent="0.25">
      <c r="E609" s="13"/>
    </row>
    <row r="610" spans="5:5" ht="13.2" x14ac:dyDescent="0.25">
      <c r="E610" s="13"/>
    </row>
    <row r="611" spans="5:5" ht="13.2" x14ac:dyDescent="0.25">
      <c r="E611" s="13"/>
    </row>
    <row r="612" spans="5:5" ht="13.2" x14ac:dyDescent="0.25">
      <c r="E612" s="13"/>
    </row>
    <row r="613" spans="5:5" ht="13.2" x14ac:dyDescent="0.25">
      <c r="E613" s="13"/>
    </row>
    <row r="614" spans="5:5" ht="13.2" x14ac:dyDescent="0.25">
      <c r="E614" s="13"/>
    </row>
    <row r="615" spans="5:5" ht="13.2" x14ac:dyDescent="0.25">
      <c r="E615" s="13"/>
    </row>
    <row r="616" spans="5:5" ht="13.2" x14ac:dyDescent="0.25">
      <c r="E616" s="13"/>
    </row>
    <row r="617" spans="5:5" ht="13.2" x14ac:dyDescent="0.25">
      <c r="E617" s="13"/>
    </row>
    <row r="618" spans="5:5" ht="13.2" x14ac:dyDescent="0.25">
      <c r="E618" s="13"/>
    </row>
    <row r="619" spans="5:5" ht="13.2" x14ac:dyDescent="0.25">
      <c r="E619" s="13"/>
    </row>
    <row r="620" spans="5:5" ht="13.2" x14ac:dyDescent="0.25">
      <c r="E620" s="13"/>
    </row>
    <row r="621" spans="5:5" ht="13.2" x14ac:dyDescent="0.25">
      <c r="E621" s="13"/>
    </row>
    <row r="622" spans="5:5" ht="13.2" x14ac:dyDescent="0.25">
      <c r="E622" s="13"/>
    </row>
    <row r="623" spans="5:5" ht="13.2" x14ac:dyDescent="0.25">
      <c r="E623" s="13"/>
    </row>
    <row r="624" spans="5:5" ht="13.2" x14ac:dyDescent="0.25">
      <c r="E624" s="13"/>
    </row>
    <row r="625" spans="5:5" ht="13.2" x14ac:dyDescent="0.25">
      <c r="E625" s="13"/>
    </row>
    <row r="626" spans="5:5" ht="13.2" x14ac:dyDescent="0.25">
      <c r="E626" s="13"/>
    </row>
    <row r="627" spans="5:5" ht="13.2" x14ac:dyDescent="0.25">
      <c r="E627" s="13"/>
    </row>
    <row r="628" spans="5:5" ht="13.2" x14ac:dyDescent="0.25">
      <c r="E628" s="13"/>
    </row>
    <row r="629" spans="5:5" ht="13.2" x14ac:dyDescent="0.25">
      <c r="E629" s="13"/>
    </row>
    <row r="630" spans="5:5" ht="13.2" x14ac:dyDescent="0.25">
      <c r="E630" s="13"/>
    </row>
    <row r="631" spans="5:5" ht="13.2" x14ac:dyDescent="0.25">
      <c r="E631" s="13"/>
    </row>
    <row r="632" spans="5:5" ht="13.2" x14ac:dyDescent="0.25">
      <c r="E632" s="13"/>
    </row>
    <row r="633" spans="5:5" ht="13.2" x14ac:dyDescent="0.25">
      <c r="E633" s="13"/>
    </row>
    <row r="634" spans="5:5" ht="13.2" x14ac:dyDescent="0.25">
      <c r="E634" s="13"/>
    </row>
    <row r="635" spans="5:5" ht="13.2" x14ac:dyDescent="0.25">
      <c r="E635" s="13"/>
    </row>
    <row r="636" spans="5:5" ht="13.2" x14ac:dyDescent="0.25">
      <c r="E636" s="13"/>
    </row>
    <row r="637" spans="5:5" ht="13.2" x14ac:dyDescent="0.25">
      <c r="E637" s="13"/>
    </row>
    <row r="638" spans="5:5" ht="13.2" x14ac:dyDescent="0.25">
      <c r="E638" s="13"/>
    </row>
    <row r="639" spans="5:5" ht="13.2" x14ac:dyDescent="0.25">
      <c r="E639" s="13"/>
    </row>
    <row r="640" spans="5:5" ht="13.2" x14ac:dyDescent="0.25">
      <c r="E640" s="13"/>
    </row>
    <row r="641" spans="5:5" ht="13.2" x14ac:dyDescent="0.25">
      <c r="E641" s="13"/>
    </row>
    <row r="642" spans="5:5" ht="13.2" x14ac:dyDescent="0.25">
      <c r="E642" s="13"/>
    </row>
    <row r="643" spans="5:5" ht="13.2" x14ac:dyDescent="0.25">
      <c r="E643" s="13"/>
    </row>
    <row r="644" spans="5:5" ht="13.2" x14ac:dyDescent="0.25">
      <c r="E644" s="13"/>
    </row>
    <row r="645" spans="5:5" ht="13.2" x14ac:dyDescent="0.25">
      <c r="E645" s="13"/>
    </row>
    <row r="646" spans="5:5" ht="13.2" x14ac:dyDescent="0.25">
      <c r="E646" s="13"/>
    </row>
    <row r="647" spans="5:5" ht="13.2" x14ac:dyDescent="0.25">
      <c r="E647" s="13"/>
    </row>
    <row r="648" spans="5:5" ht="13.2" x14ac:dyDescent="0.25">
      <c r="E648" s="13"/>
    </row>
    <row r="649" spans="5:5" ht="13.2" x14ac:dyDescent="0.25">
      <c r="E649" s="13"/>
    </row>
    <row r="650" spans="5:5" ht="13.2" x14ac:dyDescent="0.25">
      <c r="E650" s="13"/>
    </row>
    <row r="651" spans="5:5" ht="13.2" x14ac:dyDescent="0.25">
      <c r="E651" s="13"/>
    </row>
    <row r="652" spans="5:5" ht="13.2" x14ac:dyDescent="0.25">
      <c r="E652" s="13"/>
    </row>
    <row r="653" spans="5:5" ht="13.2" x14ac:dyDescent="0.25">
      <c r="E653" s="13"/>
    </row>
    <row r="654" spans="5:5" ht="13.2" x14ac:dyDescent="0.25">
      <c r="E654" s="13"/>
    </row>
    <row r="655" spans="5:5" ht="13.2" x14ac:dyDescent="0.25">
      <c r="E655" s="13"/>
    </row>
    <row r="656" spans="5:5" ht="13.2" x14ac:dyDescent="0.25">
      <c r="E656" s="13"/>
    </row>
    <row r="657" spans="5:5" ht="13.2" x14ac:dyDescent="0.25">
      <c r="E657" s="13"/>
    </row>
    <row r="658" spans="5:5" ht="13.2" x14ac:dyDescent="0.25">
      <c r="E658" s="13"/>
    </row>
    <row r="659" spans="5:5" ht="13.2" x14ac:dyDescent="0.25">
      <c r="E659" s="13"/>
    </row>
    <row r="660" spans="5:5" ht="13.2" x14ac:dyDescent="0.25">
      <c r="E660" s="13"/>
    </row>
    <row r="661" spans="5:5" ht="13.2" x14ac:dyDescent="0.25">
      <c r="E661" s="13"/>
    </row>
    <row r="662" spans="5:5" ht="13.2" x14ac:dyDescent="0.25">
      <c r="E662" s="13"/>
    </row>
    <row r="663" spans="5:5" ht="13.2" x14ac:dyDescent="0.25">
      <c r="E663" s="13"/>
    </row>
    <row r="664" spans="5:5" ht="13.2" x14ac:dyDescent="0.25">
      <c r="E664" s="13"/>
    </row>
    <row r="665" spans="5:5" ht="13.2" x14ac:dyDescent="0.25">
      <c r="E665" s="13"/>
    </row>
    <row r="666" spans="5:5" ht="13.2" x14ac:dyDescent="0.25">
      <c r="E666" s="13"/>
    </row>
    <row r="667" spans="5:5" ht="13.2" x14ac:dyDescent="0.25">
      <c r="E667" s="13"/>
    </row>
    <row r="668" spans="5:5" ht="13.2" x14ac:dyDescent="0.25">
      <c r="E668" s="13"/>
    </row>
    <row r="669" spans="5:5" ht="13.2" x14ac:dyDescent="0.25">
      <c r="E669" s="13"/>
    </row>
    <row r="670" spans="5:5" ht="13.2" x14ac:dyDescent="0.25">
      <c r="E670" s="13"/>
    </row>
    <row r="671" spans="5:5" ht="13.2" x14ac:dyDescent="0.25">
      <c r="E671" s="13"/>
    </row>
    <row r="672" spans="5:5" ht="13.2" x14ac:dyDescent="0.25">
      <c r="E672" s="13"/>
    </row>
    <row r="673" spans="5:5" ht="13.2" x14ac:dyDescent="0.25">
      <c r="E673" s="13"/>
    </row>
    <row r="674" spans="5:5" ht="13.2" x14ac:dyDescent="0.25">
      <c r="E674" s="13"/>
    </row>
    <row r="675" spans="5:5" ht="13.2" x14ac:dyDescent="0.25">
      <c r="E675" s="13"/>
    </row>
    <row r="676" spans="5:5" ht="13.2" x14ac:dyDescent="0.25">
      <c r="E676" s="13"/>
    </row>
    <row r="677" spans="5:5" ht="13.2" x14ac:dyDescent="0.25">
      <c r="E677" s="13"/>
    </row>
    <row r="678" spans="5:5" ht="13.2" x14ac:dyDescent="0.25">
      <c r="E678" s="13"/>
    </row>
    <row r="679" spans="5:5" ht="13.2" x14ac:dyDescent="0.25">
      <c r="E679" s="13"/>
    </row>
    <row r="680" spans="5:5" ht="13.2" x14ac:dyDescent="0.25">
      <c r="E680" s="13"/>
    </row>
    <row r="681" spans="5:5" ht="13.2" x14ac:dyDescent="0.25">
      <c r="E681" s="13"/>
    </row>
    <row r="682" spans="5:5" ht="13.2" x14ac:dyDescent="0.25">
      <c r="E682" s="13"/>
    </row>
    <row r="683" spans="5:5" ht="13.2" x14ac:dyDescent="0.25">
      <c r="E683" s="13"/>
    </row>
    <row r="684" spans="5:5" ht="13.2" x14ac:dyDescent="0.25">
      <c r="E684" s="13"/>
    </row>
    <row r="685" spans="5:5" ht="13.2" x14ac:dyDescent="0.25">
      <c r="E685" s="13"/>
    </row>
    <row r="686" spans="5:5" ht="13.2" x14ac:dyDescent="0.25">
      <c r="E686" s="13"/>
    </row>
    <row r="687" spans="5:5" ht="13.2" x14ac:dyDescent="0.25">
      <c r="E687" s="13"/>
    </row>
    <row r="688" spans="5:5" ht="13.2" x14ac:dyDescent="0.25">
      <c r="E688" s="13"/>
    </row>
    <row r="689" spans="5:5" ht="13.2" x14ac:dyDescent="0.25">
      <c r="E689" s="13"/>
    </row>
    <row r="690" spans="5:5" ht="13.2" x14ac:dyDescent="0.25">
      <c r="E690" s="13"/>
    </row>
    <row r="691" spans="5:5" ht="13.2" x14ac:dyDescent="0.25">
      <c r="E691" s="13"/>
    </row>
    <row r="692" spans="5:5" ht="13.2" x14ac:dyDescent="0.25">
      <c r="E692" s="13"/>
    </row>
    <row r="693" spans="5:5" ht="13.2" x14ac:dyDescent="0.25">
      <c r="E693" s="13"/>
    </row>
    <row r="694" spans="5:5" ht="13.2" x14ac:dyDescent="0.25">
      <c r="E694" s="13"/>
    </row>
    <row r="695" spans="5:5" ht="13.2" x14ac:dyDescent="0.25">
      <c r="E695" s="13"/>
    </row>
    <row r="696" spans="5:5" ht="13.2" x14ac:dyDescent="0.25">
      <c r="E696" s="13"/>
    </row>
    <row r="697" spans="5:5" ht="13.2" x14ac:dyDescent="0.25">
      <c r="E697" s="13"/>
    </row>
    <row r="698" spans="5:5" ht="13.2" x14ac:dyDescent="0.25">
      <c r="E698" s="13"/>
    </row>
    <row r="699" spans="5:5" ht="13.2" x14ac:dyDescent="0.25">
      <c r="E699" s="13"/>
    </row>
    <row r="700" spans="5:5" ht="13.2" x14ac:dyDescent="0.25">
      <c r="E700" s="13"/>
    </row>
    <row r="701" spans="5:5" ht="13.2" x14ac:dyDescent="0.25">
      <c r="E701" s="13"/>
    </row>
    <row r="702" spans="5:5" ht="13.2" x14ac:dyDescent="0.25">
      <c r="E702" s="13"/>
    </row>
    <row r="703" spans="5:5" ht="13.2" x14ac:dyDescent="0.25">
      <c r="E703" s="13"/>
    </row>
    <row r="704" spans="5:5" ht="13.2" x14ac:dyDescent="0.25">
      <c r="E704" s="13"/>
    </row>
    <row r="705" spans="5:5" ht="13.2" x14ac:dyDescent="0.25">
      <c r="E705" s="13"/>
    </row>
    <row r="706" spans="5:5" ht="13.2" x14ac:dyDescent="0.25">
      <c r="E706" s="13"/>
    </row>
    <row r="707" spans="5:5" ht="13.2" x14ac:dyDescent="0.25">
      <c r="E707" s="13"/>
    </row>
    <row r="708" spans="5:5" ht="13.2" x14ac:dyDescent="0.25">
      <c r="E708" s="13"/>
    </row>
    <row r="709" spans="5:5" ht="13.2" x14ac:dyDescent="0.25">
      <c r="E709" s="13"/>
    </row>
    <row r="710" spans="5:5" ht="13.2" x14ac:dyDescent="0.25">
      <c r="E710" s="13"/>
    </row>
    <row r="711" spans="5:5" ht="13.2" x14ac:dyDescent="0.25">
      <c r="E711" s="13"/>
    </row>
    <row r="712" spans="5:5" ht="13.2" x14ac:dyDescent="0.25">
      <c r="E712" s="13"/>
    </row>
    <row r="713" spans="5:5" ht="13.2" x14ac:dyDescent="0.25">
      <c r="E713" s="13"/>
    </row>
    <row r="714" spans="5:5" ht="13.2" x14ac:dyDescent="0.25">
      <c r="E714" s="13"/>
    </row>
    <row r="715" spans="5:5" ht="13.2" x14ac:dyDescent="0.25">
      <c r="E715" s="13"/>
    </row>
    <row r="716" spans="5:5" ht="13.2" x14ac:dyDescent="0.25">
      <c r="E716" s="13"/>
    </row>
    <row r="717" spans="5:5" ht="13.2" x14ac:dyDescent="0.25">
      <c r="E717" s="13"/>
    </row>
    <row r="718" spans="5:5" ht="13.2" x14ac:dyDescent="0.25">
      <c r="E718" s="13"/>
    </row>
    <row r="719" spans="5:5" ht="13.2" x14ac:dyDescent="0.25">
      <c r="E719" s="13"/>
    </row>
    <row r="720" spans="5:5" ht="13.2" x14ac:dyDescent="0.25">
      <c r="E720" s="13"/>
    </row>
    <row r="721" spans="5:5" ht="13.2" x14ac:dyDescent="0.25">
      <c r="E721" s="13"/>
    </row>
    <row r="722" spans="5:5" ht="13.2" x14ac:dyDescent="0.25">
      <c r="E722" s="13"/>
    </row>
    <row r="723" spans="5:5" ht="13.2" x14ac:dyDescent="0.25">
      <c r="E723" s="13"/>
    </row>
    <row r="724" spans="5:5" ht="13.2" x14ac:dyDescent="0.25">
      <c r="E724" s="13"/>
    </row>
    <row r="725" spans="5:5" ht="13.2" x14ac:dyDescent="0.25">
      <c r="E725" s="13"/>
    </row>
    <row r="726" spans="5:5" ht="13.2" x14ac:dyDescent="0.25">
      <c r="E726" s="13"/>
    </row>
    <row r="727" spans="5:5" ht="13.2" x14ac:dyDescent="0.25">
      <c r="E727" s="13"/>
    </row>
    <row r="728" spans="5:5" ht="13.2" x14ac:dyDescent="0.25">
      <c r="E728" s="13"/>
    </row>
    <row r="729" spans="5:5" ht="13.2" x14ac:dyDescent="0.25">
      <c r="E729" s="13"/>
    </row>
    <row r="730" spans="5:5" ht="13.2" x14ac:dyDescent="0.25">
      <c r="E730" s="13"/>
    </row>
    <row r="731" spans="5:5" ht="13.2" x14ac:dyDescent="0.25">
      <c r="E731" s="13"/>
    </row>
    <row r="732" spans="5:5" ht="13.2" x14ac:dyDescent="0.25">
      <c r="E732" s="13"/>
    </row>
    <row r="733" spans="5:5" ht="13.2" x14ac:dyDescent="0.25">
      <c r="E733" s="13"/>
    </row>
    <row r="734" spans="5:5" ht="13.2" x14ac:dyDescent="0.25">
      <c r="E734" s="13"/>
    </row>
    <row r="735" spans="5:5" ht="13.2" x14ac:dyDescent="0.25">
      <c r="E735" s="13"/>
    </row>
    <row r="736" spans="5:5" ht="13.2" x14ac:dyDescent="0.25">
      <c r="E736" s="13"/>
    </row>
    <row r="737" spans="5:5" ht="13.2" x14ac:dyDescent="0.25">
      <c r="E737" s="13"/>
    </row>
    <row r="738" spans="5:5" ht="13.2" x14ac:dyDescent="0.25">
      <c r="E738" s="13"/>
    </row>
    <row r="739" spans="5:5" ht="13.2" x14ac:dyDescent="0.25">
      <c r="E739" s="13"/>
    </row>
    <row r="740" spans="5:5" ht="13.2" x14ac:dyDescent="0.25">
      <c r="E740" s="13"/>
    </row>
    <row r="741" spans="5:5" ht="13.2" x14ac:dyDescent="0.25">
      <c r="E741" s="13"/>
    </row>
    <row r="742" spans="5:5" ht="13.2" x14ac:dyDescent="0.25">
      <c r="E742" s="13"/>
    </row>
    <row r="743" spans="5:5" ht="13.2" x14ac:dyDescent="0.25">
      <c r="E743" s="13"/>
    </row>
    <row r="744" spans="5:5" ht="13.2" x14ac:dyDescent="0.25">
      <c r="E744" s="13"/>
    </row>
    <row r="745" spans="5:5" ht="13.2" x14ac:dyDescent="0.25">
      <c r="E745" s="13"/>
    </row>
    <row r="746" spans="5:5" ht="13.2" x14ac:dyDescent="0.25">
      <c r="E746" s="13"/>
    </row>
    <row r="747" spans="5:5" ht="13.2" x14ac:dyDescent="0.25">
      <c r="E747" s="13"/>
    </row>
    <row r="748" spans="5:5" ht="13.2" x14ac:dyDescent="0.25">
      <c r="E748" s="13"/>
    </row>
    <row r="749" spans="5:5" ht="13.2" x14ac:dyDescent="0.25">
      <c r="E749" s="13"/>
    </row>
    <row r="750" spans="5:5" ht="13.2" x14ac:dyDescent="0.25">
      <c r="E750" s="13"/>
    </row>
    <row r="751" spans="5:5" ht="13.2" x14ac:dyDescent="0.25">
      <c r="E751" s="13"/>
    </row>
    <row r="752" spans="5:5" ht="13.2" x14ac:dyDescent="0.25">
      <c r="E752" s="13"/>
    </row>
    <row r="753" spans="5:5" ht="13.2" x14ac:dyDescent="0.25">
      <c r="E753" s="13"/>
    </row>
    <row r="754" spans="5:5" ht="13.2" x14ac:dyDescent="0.25">
      <c r="E754" s="13"/>
    </row>
    <row r="755" spans="5:5" ht="13.2" x14ac:dyDescent="0.25">
      <c r="E755" s="13"/>
    </row>
    <row r="756" spans="5:5" ht="13.2" x14ac:dyDescent="0.25">
      <c r="E756" s="13"/>
    </row>
    <row r="757" spans="5:5" ht="13.2" x14ac:dyDescent="0.25">
      <c r="E757" s="13"/>
    </row>
    <row r="758" spans="5:5" ht="13.2" x14ac:dyDescent="0.25">
      <c r="E758" s="13"/>
    </row>
    <row r="759" spans="5:5" ht="13.2" x14ac:dyDescent="0.25">
      <c r="E759" s="13"/>
    </row>
    <row r="760" spans="5:5" ht="13.2" x14ac:dyDescent="0.25">
      <c r="E760" s="13"/>
    </row>
    <row r="761" spans="5:5" ht="13.2" x14ac:dyDescent="0.25">
      <c r="E761" s="13"/>
    </row>
    <row r="762" spans="5:5" ht="13.2" x14ac:dyDescent="0.25">
      <c r="E762" s="13"/>
    </row>
    <row r="763" spans="5:5" ht="13.2" x14ac:dyDescent="0.25">
      <c r="E763" s="13"/>
    </row>
    <row r="764" spans="5:5" ht="13.2" x14ac:dyDescent="0.25">
      <c r="E764" s="13"/>
    </row>
    <row r="765" spans="5:5" ht="13.2" x14ac:dyDescent="0.25">
      <c r="E765" s="13"/>
    </row>
    <row r="766" spans="5:5" ht="13.2" x14ac:dyDescent="0.25">
      <c r="E766" s="13"/>
    </row>
    <row r="767" spans="5:5" ht="13.2" x14ac:dyDescent="0.25">
      <c r="E767" s="13"/>
    </row>
    <row r="768" spans="5:5" ht="13.2" x14ac:dyDescent="0.25">
      <c r="E768" s="13"/>
    </row>
    <row r="769" spans="5:5" ht="13.2" x14ac:dyDescent="0.25">
      <c r="E769" s="13"/>
    </row>
    <row r="770" spans="5:5" ht="13.2" x14ac:dyDescent="0.25">
      <c r="E770" s="13"/>
    </row>
    <row r="771" spans="5:5" ht="13.2" x14ac:dyDescent="0.25">
      <c r="E771" s="13"/>
    </row>
    <row r="772" spans="5:5" ht="13.2" x14ac:dyDescent="0.25">
      <c r="E772" s="13"/>
    </row>
    <row r="773" spans="5:5" ht="13.2" x14ac:dyDescent="0.25">
      <c r="E773" s="13"/>
    </row>
    <row r="774" spans="5:5" ht="13.2" x14ac:dyDescent="0.25">
      <c r="E774" s="13"/>
    </row>
    <row r="775" spans="5:5" ht="13.2" x14ac:dyDescent="0.25">
      <c r="E775" s="13"/>
    </row>
    <row r="776" spans="5:5" ht="13.2" x14ac:dyDescent="0.25">
      <c r="E776" s="13"/>
    </row>
    <row r="777" spans="5:5" ht="13.2" x14ac:dyDescent="0.25">
      <c r="E777" s="13"/>
    </row>
    <row r="778" spans="5:5" ht="13.2" x14ac:dyDescent="0.25">
      <c r="E778" s="13"/>
    </row>
    <row r="779" spans="5:5" ht="13.2" x14ac:dyDescent="0.25">
      <c r="E779" s="13"/>
    </row>
    <row r="780" spans="5:5" ht="13.2" x14ac:dyDescent="0.25">
      <c r="E780" s="13"/>
    </row>
    <row r="781" spans="5:5" ht="13.2" x14ac:dyDescent="0.25">
      <c r="E781" s="13"/>
    </row>
    <row r="782" spans="5:5" ht="13.2" x14ac:dyDescent="0.25">
      <c r="E782" s="13"/>
    </row>
    <row r="783" spans="5:5" ht="13.2" x14ac:dyDescent="0.25">
      <c r="E783" s="13"/>
    </row>
    <row r="784" spans="5:5" ht="13.2" x14ac:dyDescent="0.25">
      <c r="E784" s="13"/>
    </row>
    <row r="785" spans="5:5" ht="13.2" x14ac:dyDescent="0.25">
      <c r="E785" s="13"/>
    </row>
    <row r="786" spans="5:5" ht="13.2" x14ac:dyDescent="0.25">
      <c r="E786" s="13"/>
    </row>
    <row r="787" spans="5:5" ht="13.2" x14ac:dyDescent="0.25">
      <c r="E787" s="13"/>
    </row>
    <row r="788" spans="5:5" ht="13.2" x14ac:dyDescent="0.25">
      <c r="E788" s="13"/>
    </row>
    <row r="789" spans="5:5" ht="13.2" x14ac:dyDescent="0.25">
      <c r="E789" s="13"/>
    </row>
    <row r="790" spans="5:5" ht="13.2" x14ac:dyDescent="0.25">
      <c r="E790" s="13"/>
    </row>
    <row r="791" spans="5:5" ht="13.2" x14ac:dyDescent="0.25">
      <c r="E791" s="13"/>
    </row>
    <row r="792" spans="5:5" ht="13.2" x14ac:dyDescent="0.25">
      <c r="E792" s="13"/>
    </row>
    <row r="793" spans="5:5" ht="13.2" x14ac:dyDescent="0.25">
      <c r="E793" s="13"/>
    </row>
    <row r="794" spans="5:5" ht="13.2" x14ac:dyDescent="0.25">
      <c r="E794" s="13"/>
    </row>
    <row r="795" spans="5:5" ht="13.2" x14ac:dyDescent="0.25">
      <c r="E795" s="13"/>
    </row>
    <row r="796" spans="5:5" ht="13.2" x14ac:dyDescent="0.25">
      <c r="E796" s="13"/>
    </row>
    <row r="797" spans="5:5" ht="13.2" x14ac:dyDescent="0.25">
      <c r="E797" s="13"/>
    </row>
    <row r="798" spans="5:5" ht="13.2" x14ac:dyDescent="0.25">
      <c r="E798" s="13"/>
    </row>
    <row r="799" spans="5:5" ht="13.2" x14ac:dyDescent="0.25">
      <c r="E799" s="13"/>
    </row>
    <row r="800" spans="5:5" ht="13.2" x14ac:dyDescent="0.25">
      <c r="E800" s="13"/>
    </row>
    <row r="801" spans="5:5" ht="13.2" x14ac:dyDescent="0.25">
      <c r="E801" s="13"/>
    </row>
    <row r="802" spans="5:5" ht="13.2" x14ac:dyDescent="0.25">
      <c r="E802" s="13"/>
    </row>
    <row r="803" spans="5:5" ht="13.2" x14ac:dyDescent="0.25">
      <c r="E803" s="13"/>
    </row>
    <row r="804" spans="5:5" ht="13.2" x14ac:dyDescent="0.25">
      <c r="E804" s="13"/>
    </row>
    <row r="805" spans="5:5" ht="13.2" x14ac:dyDescent="0.25">
      <c r="E805" s="13"/>
    </row>
    <row r="806" spans="5:5" ht="13.2" x14ac:dyDescent="0.25">
      <c r="E806" s="13"/>
    </row>
    <row r="807" spans="5:5" ht="13.2" x14ac:dyDescent="0.25">
      <c r="E807" s="13"/>
    </row>
    <row r="808" spans="5:5" ht="13.2" x14ac:dyDescent="0.25">
      <c r="E808" s="13"/>
    </row>
    <row r="809" spans="5:5" ht="13.2" x14ac:dyDescent="0.25">
      <c r="E809" s="13"/>
    </row>
    <row r="810" spans="5:5" ht="13.2" x14ac:dyDescent="0.25">
      <c r="E810" s="13"/>
    </row>
    <row r="811" spans="5:5" ht="13.2" x14ac:dyDescent="0.25">
      <c r="E811" s="13"/>
    </row>
    <row r="812" spans="5:5" ht="13.2" x14ac:dyDescent="0.25">
      <c r="E812" s="13"/>
    </row>
    <row r="813" spans="5:5" ht="13.2" x14ac:dyDescent="0.25">
      <c r="E813" s="13"/>
    </row>
    <row r="814" spans="5:5" ht="13.2" x14ac:dyDescent="0.25">
      <c r="E814" s="13"/>
    </row>
    <row r="815" spans="5:5" ht="13.2" x14ac:dyDescent="0.25">
      <c r="E815" s="13"/>
    </row>
    <row r="816" spans="5:5" ht="13.2" x14ac:dyDescent="0.25">
      <c r="E816" s="13"/>
    </row>
    <row r="817" spans="5:5" ht="13.2" x14ac:dyDescent="0.25">
      <c r="E817" s="13"/>
    </row>
    <row r="818" spans="5:5" ht="13.2" x14ac:dyDescent="0.25">
      <c r="E818" s="13"/>
    </row>
    <row r="819" spans="5:5" ht="13.2" x14ac:dyDescent="0.25">
      <c r="E819" s="13"/>
    </row>
    <row r="820" spans="5:5" ht="13.2" x14ac:dyDescent="0.25">
      <c r="E820" s="13"/>
    </row>
    <row r="821" spans="5:5" ht="13.2" x14ac:dyDescent="0.25">
      <c r="E821" s="13"/>
    </row>
    <row r="822" spans="5:5" ht="13.2" x14ac:dyDescent="0.25">
      <c r="E822" s="13"/>
    </row>
    <row r="823" spans="5:5" ht="13.2" x14ac:dyDescent="0.25">
      <c r="E823" s="13"/>
    </row>
    <row r="824" spans="5:5" ht="13.2" x14ac:dyDescent="0.25">
      <c r="E824" s="13"/>
    </row>
    <row r="825" spans="5:5" ht="13.2" x14ac:dyDescent="0.25">
      <c r="E825" s="13"/>
    </row>
    <row r="826" spans="5:5" ht="13.2" x14ac:dyDescent="0.25">
      <c r="E826" s="13"/>
    </row>
    <row r="827" spans="5:5" ht="13.2" x14ac:dyDescent="0.25">
      <c r="E827" s="13"/>
    </row>
    <row r="828" spans="5:5" ht="13.2" x14ac:dyDescent="0.25">
      <c r="E828" s="13"/>
    </row>
    <row r="829" spans="5:5" ht="13.2" x14ac:dyDescent="0.25">
      <c r="E829" s="13"/>
    </row>
    <row r="830" spans="5:5" ht="13.2" x14ac:dyDescent="0.25">
      <c r="E830" s="13"/>
    </row>
    <row r="831" spans="5:5" ht="13.2" x14ac:dyDescent="0.25">
      <c r="E831" s="13"/>
    </row>
    <row r="832" spans="5:5" ht="13.2" x14ac:dyDescent="0.25">
      <c r="E832" s="13"/>
    </row>
    <row r="833" spans="5:5" ht="13.2" x14ac:dyDescent="0.25">
      <c r="E833" s="13"/>
    </row>
    <row r="834" spans="5:5" ht="13.2" x14ac:dyDescent="0.25">
      <c r="E834" s="13"/>
    </row>
    <row r="835" spans="5:5" ht="13.2" x14ac:dyDescent="0.25">
      <c r="E835" s="13"/>
    </row>
    <row r="836" spans="5:5" ht="13.2" x14ac:dyDescent="0.25">
      <c r="E836" s="13"/>
    </row>
    <row r="837" spans="5:5" ht="13.2" x14ac:dyDescent="0.25">
      <c r="E837" s="13"/>
    </row>
    <row r="838" spans="5:5" ht="13.2" x14ac:dyDescent="0.25">
      <c r="E838" s="13"/>
    </row>
    <row r="839" spans="5:5" ht="13.2" x14ac:dyDescent="0.25">
      <c r="E839" s="13"/>
    </row>
    <row r="840" spans="5:5" ht="13.2" x14ac:dyDescent="0.25">
      <c r="E840" s="13"/>
    </row>
    <row r="841" spans="5:5" ht="13.2" x14ac:dyDescent="0.25">
      <c r="E841" s="13"/>
    </row>
    <row r="842" spans="5:5" ht="13.2" x14ac:dyDescent="0.25">
      <c r="E842" s="13"/>
    </row>
    <row r="843" spans="5:5" ht="13.2" x14ac:dyDescent="0.25">
      <c r="E843" s="13"/>
    </row>
    <row r="844" spans="5:5" ht="13.2" x14ac:dyDescent="0.25">
      <c r="E844" s="13"/>
    </row>
    <row r="845" spans="5:5" ht="13.2" x14ac:dyDescent="0.25">
      <c r="E845" s="13"/>
    </row>
    <row r="846" spans="5:5" ht="13.2" x14ac:dyDescent="0.25">
      <c r="E846" s="13"/>
    </row>
    <row r="847" spans="5:5" ht="13.2" x14ac:dyDescent="0.25">
      <c r="E847" s="13"/>
    </row>
    <row r="848" spans="5:5" ht="13.2" x14ac:dyDescent="0.25">
      <c r="E848" s="13"/>
    </row>
    <row r="849" spans="5:5" ht="13.2" x14ac:dyDescent="0.25">
      <c r="E849" s="13"/>
    </row>
    <row r="850" spans="5:5" ht="13.2" x14ac:dyDescent="0.25">
      <c r="E850" s="13"/>
    </row>
    <row r="851" spans="5:5" ht="13.2" x14ac:dyDescent="0.25">
      <c r="E851" s="13"/>
    </row>
    <row r="852" spans="5:5" ht="13.2" x14ac:dyDescent="0.25">
      <c r="E852" s="13"/>
    </row>
    <row r="853" spans="5:5" ht="13.2" x14ac:dyDescent="0.25">
      <c r="E853" s="13"/>
    </row>
    <row r="854" spans="5:5" ht="13.2" x14ac:dyDescent="0.25">
      <c r="E854" s="13"/>
    </row>
    <row r="855" spans="5:5" ht="13.2" x14ac:dyDescent="0.25">
      <c r="E855" s="13"/>
    </row>
    <row r="856" spans="5:5" ht="13.2" x14ac:dyDescent="0.25">
      <c r="E856" s="13"/>
    </row>
    <row r="857" spans="5:5" ht="13.2" x14ac:dyDescent="0.25">
      <c r="E857" s="13"/>
    </row>
    <row r="858" spans="5:5" ht="13.2" x14ac:dyDescent="0.25">
      <c r="E858" s="13"/>
    </row>
    <row r="859" spans="5:5" ht="13.2" x14ac:dyDescent="0.25">
      <c r="E859" s="13"/>
    </row>
    <row r="860" spans="5:5" ht="13.2" x14ac:dyDescent="0.25">
      <c r="E860" s="13"/>
    </row>
    <row r="861" spans="5:5" ht="13.2" x14ac:dyDescent="0.25">
      <c r="E861" s="13"/>
    </row>
    <row r="862" spans="5:5" ht="13.2" x14ac:dyDescent="0.25">
      <c r="E862" s="13"/>
    </row>
    <row r="863" spans="5:5" ht="13.2" x14ac:dyDescent="0.25">
      <c r="E863" s="13"/>
    </row>
    <row r="864" spans="5:5" ht="13.2" x14ac:dyDescent="0.25">
      <c r="E864" s="13"/>
    </row>
    <row r="865" spans="5:5" ht="13.2" x14ac:dyDescent="0.25">
      <c r="E865" s="13"/>
    </row>
    <row r="866" spans="5:5" ht="13.2" x14ac:dyDescent="0.25">
      <c r="E866" s="13"/>
    </row>
    <row r="867" spans="5:5" ht="13.2" x14ac:dyDescent="0.25">
      <c r="E867" s="13"/>
    </row>
    <row r="868" spans="5:5" ht="13.2" x14ac:dyDescent="0.25">
      <c r="E868" s="13"/>
    </row>
    <row r="869" spans="5:5" ht="13.2" x14ac:dyDescent="0.25">
      <c r="E869" s="13"/>
    </row>
    <row r="870" spans="5:5" ht="13.2" x14ac:dyDescent="0.25">
      <c r="E870" s="13"/>
    </row>
    <row r="871" spans="5:5" ht="13.2" x14ac:dyDescent="0.25">
      <c r="E871" s="13"/>
    </row>
    <row r="872" spans="5:5" ht="13.2" x14ac:dyDescent="0.25">
      <c r="E872" s="13"/>
    </row>
    <row r="873" spans="5:5" ht="13.2" x14ac:dyDescent="0.25">
      <c r="E873" s="13"/>
    </row>
    <row r="874" spans="5:5" ht="13.2" x14ac:dyDescent="0.25">
      <c r="E874" s="13"/>
    </row>
    <row r="875" spans="5:5" ht="13.2" x14ac:dyDescent="0.25">
      <c r="E875" s="13"/>
    </row>
    <row r="876" spans="5:5" ht="13.2" x14ac:dyDescent="0.25">
      <c r="E876" s="13"/>
    </row>
    <row r="877" spans="5:5" ht="13.2" x14ac:dyDescent="0.25">
      <c r="E877" s="13"/>
    </row>
    <row r="878" spans="5:5" ht="13.2" x14ac:dyDescent="0.25">
      <c r="E878" s="13"/>
    </row>
    <row r="879" spans="5:5" ht="13.2" x14ac:dyDescent="0.25">
      <c r="E879" s="13"/>
    </row>
    <row r="880" spans="5:5" ht="13.2" x14ac:dyDescent="0.25">
      <c r="E880" s="13"/>
    </row>
    <row r="881" spans="5:5" ht="13.2" x14ac:dyDescent="0.25">
      <c r="E881" s="13"/>
    </row>
    <row r="882" spans="5:5" ht="13.2" x14ac:dyDescent="0.25">
      <c r="E882" s="13"/>
    </row>
    <row r="883" spans="5:5" ht="13.2" x14ac:dyDescent="0.25">
      <c r="E883" s="13"/>
    </row>
    <row r="884" spans="5:5" ht="13.2" x14ac:dyDescent="0.25">
      <c r="E884" s="13"/>
    </row>
    <row r="885" spans="5:5" ht="13.2" x14ac:dyDescent="0.25">
      <c r="E885" s="13"/>
    </row>
    <row r="886" spans="5:5" ht="13.2" x14ac:dyDescent="0.25">
      <c r="E886" s="13"/>
    </row>
    <row r="887" spans="5:5" ht="13.2" x14ac:dyDescent="0.25">
      <c r="E887" s="13"/>
    </row>
    <row r="888" spans="5:5" ht="13.2" x14ac:dyDescent="0.25">
      <c r="E888" s="13"/>
    </row>
    <row r="889" spans="5:5" ht="13.2" x14ac:dyDescent="0.25">
      <c r="E889" s="13"/>
    </row>
    <row r="890" spans="5:5" ht="13.2" x14ac:dyDescent="0.25">
      <c r="E890" s="13"/>
    </row>
    <row r="891" spans="5:5" ht="13.2" x14ac:dyDescent="0.25">
      <c r="E891" s="13"/>
    </row>
    <row r="892" spans="5:5" ht="13.2" x14ac:dyDescent="0.25">
      <c r="E892" s="13"/>
    </row>
    <row r="893" spans="5:5" ht="13.2" x14ac:dyDescent="0.25">
      <c r="E893" s="13"/>
    </row>
    <row r="894" spans="5:5" ht="13.2" x14ac:dyDescent="0.25">
      <c r="E894" s="13"/>
    </row>
    <row r="895" spans="5:5" ht="13.2" x14ac:dyDescent="0.25">
      <c r="E895" s="13"/>
    </row>
    <row r="896" spans="5:5" ht="13.2" x14ac:dyDescent="0.25">
      <c r="E896" s="13"/>
    </row>
    <row r="897" spans="5:5" ht="13.2" x14ac:dyDescent="0.25">
      <c r="E897" s="13"/>
    </row>
    <row r="898" spans="5:5" ht="13.2" x14ac:dyDescent="0.25">
      <c r="E898" s="13"/>
    </row>
    <row r="899" spans="5:5" ht="13.2" x14ac:dyDescent="0.25">
      <c r="E899" s="13"/>
    </row>
    <row r="900" spans="5:5" ht="13.2" x14ac:dyDescent="0.25">
      <c r="E900" s="13"/>
    </row>
    <row r="901" spans="5:5" ht="13.2" x14ac:dyDescent="0.25">
      <c r="E901" s="13"/>
    </row>
    <row r="902" spans="5:5" ht="13.2" x14ac:dyDescent="0.25">
      <c r="E902" s="13"/>
    </row>
    <row r="903" spans="5:5" ht="13.2" x14ac:dyDescent="0.25">
      <c r="E903" s="13"/>
    </row>
    <row r="904" spans="5:5" ht="13.2" x14ac:dyDescent="0.25">
      <c r="E904" s="13"/>
    </row>
    <row r="905" spans="5:5" ht="13.2" x14ac:dyDescent="0.25">
      <c r="E905" s="13"/>
    </row>
    <row r="906" spans="5:5" ht="13.2" x14ac:dyDescent="0.25">
      <c r="E906" s="13"/>
    </row>
    <row r="907" spans="5:5" ht="13.2" x14ac:dyDescent="0.25">
      <c r="E907" s="13"/>
    </row>
    <row r="908" spans="5:5" ht="13.2" x14ac:dyDescent="0.25">
      <c r="E908" s="13"/>
    </row>
    <row r="909" spans="5:5" ht="13.2" x14ac:dyDescent="0.25">
      <c r="E909" s="13"/>
    </row>
    <row r="910" spans="5:5" ht="13.2" x14ac:dyDescent="0.25">
      <c r="E910" s="13"/>
    </row>
    <row r="911" spans="5:5" ht="13.2" x14ac:dyDescent="0.25">
      <c r="E911" s="13"/>
    </row>
    <row r="912" spans="5:5" ht="13.2" x14ac:dyDescent="0.25">
      <c r="E912" s="13"/>
    </row>
    <row r="913" spans="5:5" ht="13.2" x14ac:dyDescent="0.25">
      <c r="E913" s="13"/>
    </row>
    <row r="914" spans="5:5" ht="13.2" x14ac:dyDescent="0.25">
      <c r="E914" s="13"/>
    </row>
    <row r="915" spans="5:5" ht="13.2" x14ac:dyDescent="0.25">
      <c r="E915" s="13"/>
    </row>
    <row r="916" spans="5:5" ht="13.2" x14ac:dyDescent="0.25">
      <c r="E916" s="13"/>
    </row>
    <row r="917" spans="5:5" ht="13.2" x14ac:dyDescent="0.25">
      <c r="E917" s="13"/>
    </row>
    <row r="918" spans="5:5" ht="13.2" x14ac:dyDescent="0.25">
      <c r="E918" s="13"/>
    </row>
    <row r="919" spans="5:5" ht="13.2" x14ac:dyDescent="0.25">
      <c r="E919" s="13"/>
    </row>
    <row r="920" spans="5:5" ht="13.2" x14ac:dyDescent="0.25">
      <c r="E920" s="13"/>
    </row>
    <row r="921" spans="5:5" ht="13.2" x14ac:dyDescent="0.25">
      <c r="E921" s="13"/>
    </row>
    <row r="922" spans="5:5" ht="13.2" x14ac:dyDescent="0.25">
      <c r="E922" s="13"/>
    </row>
    <row r="923" spans="5:5" ht="13.2" x14ac:dyDescent="0.25">
      <c r="E923" s="13"/>
    </row>
    <row r="924" spans="5:5" ht="13.2" x14ac:dyDescent="0.25">
      <c r="E924" s="13"/>
    </row>
    <row r="925" spans="5:5" ht="13.2" x14ac:dyDescent="0.25">
      <c r="E925" s="13"/>
    </row>
    <row r="926" spans="5:5" ht="13.2" x14ac:dyDescent="0.25">
      <c r="E926" s="13"/>
    </row>
    <row r="927" spans="5:5" ht="13.2" x14ac:dyDescent="0.25">
      <c r="E927" s="13"/>
    </row>
    <row r="928" spans="5:5" ht="13.2" x14ac:dyDescent="0.25">
      <c r="E928" s="13"/>
    </row>
    <row r="929" spans="5:5" ht="13.2" x14ac:dyDescent="0.25">
      <c r="E929" s="13"/>
    </row>
    <row r="930" spans="5:5" ht="13.2" x14ac:dyDescent="0.25">
      <c r="E930" s="13"/>
    </row>
    <row r="931" spans="5:5" ht="13.2" x14ac:dyDescent="0.25">
      <c r="E931" s="13"/>
    </row>
    <row r="932" spans="5:5" ht="13.2" x14ac:dyDescent="0.25">
      <c r="E932" s="13"/>
    </row>
    <row r="933" spans="5:5" ht="13.2" x14ac:dyDescent="0.25">
      <c r="E933" s="13"/>
    </row>
    <row r="934" spans="5:5" ht="13.2" x14ac:dyDescent="0.25">
      <c r="E934" s="13"/>
    </row>
    <row r="935" spans="5:5" ht="13.2" x14ac:dyDescent="0.25">
      <c r="E935" s="13"/>
    </row>
    <row r="936" spans="5:5" ht="13.2" x14ac:dyDescent="0.25">
      <c r="E936" s="13"/>
    </row>
    <row r="937" spans="5:5" ht="13.2" x14ac:dyDescent="0.25">
      <c r="E937" s="13"/>
    </row>
    <row r="938" spans="5:5" ht="13.2" x14ac:dyDescent="0.25">
      <c r="E938" s="13"/>
    </row>
    <row r="939" spans="5:5" ht="13.2" x14ac:dyDescent="0.25">
      <c r="E939" s="13"/>
    </row>
    <row r="940" spans="5:5" ht="13.2" x14ac:dyDescent="0.25">
      <c r="E940" s="13"/>
    </row>
    <row r="941" spans="5:5" ht="13.2" x14ac:dyDescent="0.25">
      <c r="E941" s="13"/>
    </row>
    <row r="942" spans="5:5" ht="13.2" x14ac:dyDescent="0.25">
      <c r="E942" s="13"/>
    </row>
    <row r="943" spans="5:5" ht="13.2" x14ac:dyDescent="0.25">
      <c r="E943" s="13"/>
    </row>
    <row r="944" spans="5:5" ht="13.2" x14ac:dyDescent="0.25">
      <c r="E944" s="13"/>
    </row>
    <row r="945" spans="5:5" ht="13.2" x14ac:dyDescent="0.25">
      <c r="E945" s="13"/>
    </row>
    <row r="946" spans="5:5" ht="13.2" x14ac:dyDescent="0.25">
      <c r="E946" s="13"/>
    </row>
    <row r="947" spans="5:5" ht="13.2" x14ac:dyDescent="0.25">
      <c r="E947" s="13"/>
    </row>
    <row r="948" spans="5:5" ht="13.2" x14ac:dyDescent="0.25">
      <c r="E948" s="13"/>
    </row>
    <row r="949" spans="5:5" ht="13.2" x14ac:dyDescent="0.25">
      <c r="E949" s="13"/>
    </row>
    <row r="950" spans="5:5" ht="13.2" x14ac:dyDescent="0.25">
      <c r="E950" s="13"/>
    </row>
    <row r="951" spans="5:5" ht="13.2" x14ac:dyDescent="0.25">
      <c r="E951" s="13"/>
    </row>
    <row r="952" spans="5:5" ht="13.2" x14ac:dyDescent="0.25">
      <c r="E952" s="13"/>
    </row>
    <row r="953" spans="5:5" ht="13.2" x14ac:dyDescent="0.25">
      <c r="E953" s="13"/>
    </row>
    <row r="954" spans="5:5" ht="13.2" x14ac:dyDescent="0.25">
      <c r="E954" s="13"/>
    </row>
    <row r="955" spans="5:5" ht="13.2" x14ac:dyDescent="0.25">
      <c r="E955" s="13"/>
    </row>
    <row r="956" spans="5:5" ht="13.2" x14ac:dyDescent="0.25">
      <c r="E956" s="13"/>
    </row>
    <row r="957" spans="5:5" ht="13.2" x14ac:dyDescent="0.25">
      <c r="E957" s="13"/>
    </row>
    <row r="958" spans="5:5" ht="13.2" x14ac:dyDescent="0.25">
      <c r="E958" s="13"/>
    </row>
    <row r="959" spans="5:5" ht="13.2" x14ac:dyDescent="0.25">
      <c r="E959" s="13"/>
    </row>
    <row r="960" spans="5:5" ht="13.2" x14ac:dyDescent="0.25">
      <c r="E960" s="13"/>
    </row>
    <row r="961" spans="5:5" ht="13.2" x14ac:dyDescent="0.25">
      <c r="E961" s="13"/>
    </row>
    <row r="962" spans="5:5" ht="13.2" x14ac:dyDescent="0.25">
      <c r="E962" s="13"/>
    </row>
    <row r="963" spans="5:5" ht="13.2" x14ac:dyDescent="0.25">
      <c r="E963" s="13"/>
    </row>
    <row r="964" spans="5:5" ht="13.2" x14ac:dyDescent="0.25">
      <c r="E964" s="13"/>
    </row>
    <row r="965" spans="5:5" ht="13.2" x14ac:dyDescent="0.25">
      <c r="E965" s="13"/>
    </row>
    <row r="966" spans="5:5" ht="13.2" x14ac:dyDescent="0.25">
      <c r="E966" s="13"/>
    </row>
    <row r="967" spans="5:5" ht="13.2" x14ac:dyDescent="0.25">
      <c r="E967" s="13"/>
    </row>
    <row r="968" spans="5:5" ht="13.2" x14ac:dyDescent="0.25">
      <c r="E968" s="13"/>
    </row>
    <row r="969" spans="5:5" ht="13.2" x14ac:dyDescent="0.25">
      <c r="E969" s="13"/>
    </row>
    <row r="970" spans="5:5" ht="13.2" x14ac:dyDescent="0.25">
      <c r="E970" s="13"/>
    </row>
    <row r="971" spans="5:5" ht="13.2" x14ac:dyDescent="0.25">
      <c r="E971" s="13"/>
    </row>
    <row r="972" spans="5:5" ht="13.2" x14ac:dyDescent="0.25">
      <c r="E972" s="13"/>
    </row>
    <row r="973" spans="5:5" ht="13.2" x14ac:dyDescent="0.25">
      <c r="E973" s="13"/>
    </row>
    <row r="974" spans="5:5" ht="13.2" x14ac:dyDescent="0.25">
      <c r="E974" s="13"/>
    </row>
    <row r="975" spans="5:5" ht="13.2" x14ac:dyDescent="0.25">
      <c r="E975" s="13"/>
    </row>
    <row r="976" spans="5:5" ht="13.2" x14ac:dyDescent="0.25">
      <c r="E976" s="13"/>
    </row>
    <row r="977" spans="5:5" ht="13.2" x14ac:dyDescent="0.25">
      <c r="E977" s="13"/>
    </row>
    <row r="978" spans="5:5" ht="13.2" x14ac:dyDescent="0.25">
      <c r="E978" s="13"/>
    </row>
    <row r="979" spans="5:5" ht="13.2" x14ac:dyDescent="0.25">
      <c r="E979" s="13"/>
    </row>
    <row r="980" spans="5:5" ht="13.2" x14ac:dyDescent="0.25">
      <c r="E980" s="13"/>
    </row>
    <row r="981" spans="5:5" ht="13.2" x14ac:dyDescent="0.25">
      <c r="E981" s="13"/>
    </row>
    <row r="982" spans="5:5" ht="13.2" x14ac:dyDescent="0.25">
      <c r="E982" s="13"/>
    </row>
    <row r="983" spans="5:5" ht="13.2" x14ac:dyDescent="0.25">
      <c r="E983" s="13"/>
    </row>
    <row r="984" spans="5:5" ht="13.2" x14ac:dyDescent="0.25">
      <c r="E984" s="13"/>
    </row>
    <row r="985" spans="5:5" ht="13.2" x14ac:dyDescent="0.25">
      <c r="E985" s="13"/>
    </row>
    <row r="986" spans="5:5" ht="13.2" x14ac:dyDescent="0.25">
      <c r="E986" s="13"/>
    </row>
    <row r="987" spans="5:5" ht="13.2" x14ac:dyDescent="0.25">
      <c r="E987" s="13"/>
    </row>
    <row r="988" spans="5:5" ht="13.2" x14ac:dyDescent="0.25">
      <c r="E988" s="13"/>
    </row>
    <row r="989" spans="5:5" ht="13.2" x14ac:dyDescent="0.25">
      <c r="E989" s="13"/>
    </row>
    <row r="990" spans="5:5" ht="13.2" x14ac:dyDescent="0.25">
      <c r="E990" s="13"/>
    </row>
    <row r="991" spans="5:5" ht="13.2" x14ac:dyDescent="0.25">
      <c r="E991" s="13"/>
    </row>
    <row r="992" spans="5:5" ht="13.2" x14ac:dyDescent="0.25">
      <c r="E992" s="13"/>
    </row>
    <row r="993" spans="5:5" ht="13.2" x14ac:dyDescent="0.25">
      <c r="E993" s="13"/>
    </row>
    <row r="994" spans="5:5" ht="13.2" x14ac:dyDescent="0.25">
      <c r="E994" s="13"/>
    </row>
    <row r="995" spans="5:5" ht="13.2" x14ac:dyDescent="0.25">
      <c r="E995" s="13"/>
    </row>
    <row r="996" spans="5:5" ht="13.2" x14ac:dyDescent="0.25">
      <c r="E996" s="13"/>
    </row>
    <row r="997" spans="5:5" ht="13.2" x14ac:dyDescent="0.25">
      <c r="E997" s="13"/>
    </row>
    <row r="998" spans="5:5" ht="13.2" x14ac:dyDescent="0.25">
      <c r="E998" s="13"/>
    </row>
    <row r="999" spans="5:5" ht="13.2" x14ac:dyDescent="0.25">
      <c r="E999" s="13"/>
    </row>
    <row r="1000" spans="5:5" ht="13.2" x14ac:dyDescent="0.25">
      <c r="E1000" s="13"/>
    </row>
    <row r="1001" spans="5:5" ht="13.2" x14ac:dyDescent="0.25">
      <c r="E1001" s="13"/>
    </row>
    <row r="1002" spans="5:5" ht="13.2" x14ac:dyDescent="0.25">
      <c r="E1002" s="13"/>
    </row>
    <row r="1003" spans="5:5" ht="13.2" x14ac:dyDescent="0.25">
      <c r="E1003" s="13"/>
    </row>
    <row r="1004" spans="5:5" ht="13.2" x14ac:dyDescent="0.25">
      <c r="E1004" s="13"/>
    </row>
    <row r="1005" spans="5:5" ht="13.2" x14ac:dyDescent="0.25">
      <c r="E1005" s="13"/>
    </row>
    <row r="1006" spans="5:5" ht="13.2" x14ac:dyDescent="0.25">
      <c r="E1006" s="13"/>
    </row>
    <row r="1007" spans="5:5" ht="13.2" x14ac:dyDescent="0.25">
      <c r="E1007" s="13"/>
    </row>
    <row r="1008" spans="5:5" ht="13.2" x14ac:dyDescent="0.25">
      <c r="E1008" s="13"/>
    </row>
    <row r="1009" spans="5:5" ht="13.2" x14ac:dyDescent="0.25">
      <c r="E1009" s="13"/>
    </row>
    <row r="1010" spans="5:5" ht="13.2" x14ac:dyDescent="0.25">
      <c r="E1010" s="13"/>
    </row>
    <row r="1011" spans="5:5" ht="13.2" x14ac:dyDescent="0.25">
      <c r="E1011" s="13"/>
    </row>
    <row r="1012" spans="5:5" ht="13.2" x14ac:dyDescent="0.25">
      <c r="E1012" s="13"/>
    </row>
    <row r="1013" spans="5:5" ht="13.2" x14ac:dyDescent="0.25">
      <c r="E1013" s="13"/>
    </row>
    <row r="1014" spans="5:5" ht="13.2" x14ac:dyDescent="0.25">
      <c r="E1014" s="13"/>
    </row>
    <row r="1015" spans="5:5" ht="13.2" x14ac:dyDescent="0.25">
      <c r="E1015" s="13"/>
    </row>
    <row r="1016" spans="5:5" ht="13.2" x14ac:dyDescent="0.25">
      <c r="E1016" s="13"/>
    </row>
    <row r="1017" spans="5:5" ht="13.2" x14ac:dyDescent="0.25">
      <c r="E1017" s="13"/>
    </row>
    <row r="1018" spans="5:5" ht="13.2" x14ac:dyDescent="0.25">
      <c r="E1018" s="13"/>
    </row>
    <row r="1019" spans="5:5" ht="13.2" x14ac:dyDescent="0.25">
      <c r="E1019" s="13"/>
    </row>
    <row r="1020" spans="5:5" ht="13.2" x14ac:dyDescent="0.25">
      <c r="E1020" s="13"/>
    </row>
    <row r="1021" spans="5:5" ht="13.2" x14ac:dyDescent="0.25">
      <c r="E1021" s="13"/>
    </row>
    <row r="1022" spans="5:5" ht="13.2" x14ac:dyDescent="0.25">
      <c r="E1022" s="13"/>
    </row>
    <row r="1023" spans="5:5" ht="13.2" x14ac:dyDescent="0.25">
      <c r="E1023" s="13"/>
    </row>
    <row r="1024" spans="5:5" ht="13.2" x14ac:dyDescent="0.25">
      <c r="E1024" s="13"/>
    </row>
    <row r="1025" spans="5:5" ht="13.2" x14ac:dyDescent="0.25">
      <c r="E1025" s="13"/>
    </row>
    <row r="1026" spans="5:5" ht="13.2" x14ac:dyDescent="0.25">
      <c r="E1026" s="13"/>
    </row>
    <row r="1027" spans="5:5" ht="13.2" x14ac:dyDescent="0.25">
      <c r="E1027" s="13"/>
    </row>
    <row r="1028" spans="5:5" ht="13.2" x14ac:dyDescent="0.25">
      <c r="E1028" s="13"/>
    </row>
    <row r="1029" spans="5:5" ht="13.2" x14ac:dyDescent="0.25">
      <c r="E1029" s="13"/>
    </row>
    <row r="1030" spans="5:5" ht="13.2" x14ac:dyDescent="0.25">
      <c r="E1030" s="13"/>
    </row>
    <row r="1031" spans="5:5" ht="13.2" x14ac:dyDescent="0.25">
      <c r="E1031" s="13"/>
    </row>
    <row r="1032" spans="5:5" ht="13.2" x14ac:dyDescent="0.25">
      <c r="E1032" s="13"/>
    </row>
    <row r="1033" spans="5:5" ht="13.2" x14ac:dyDescent="0.25">
      <c r="E1033" s="13"/>
    </row>
    <row r="1034" spans="5:5" ht="13.2" x14ac:dyDescent="0.25">
      <c r="E1034" s="13"/>
    </row>
    <row r="1035" spans="5:5" ht="13.2" x14ac:dyDescent="0.25">
      <c r="E1035" s="13"/>
    </row>
    <row r="1036" spans="5:5" ht="13.2" x14ac:dyDescent="0.25">
      <c r="E1036" s="13"/>
    </row>
    <row r="1037" spans="5:5" ht="13.2" x14ac:dyDescent="0.25">
      <c r="E1037" s="13"/>
    </row>
    <row r="1038" spans="5:5" ht="13.2" x14ac:dyDescent="0.25">
      <c r="E1038" s="13"/>
    </row>
    <row r="1039" spans="5:5" ht="13.2" x14ac:dyDescent="0.25">
      <c r="E1039" s="13"/>
    </row>
    <row r="1040" spans="5:5" ht="13.2" x14ac:dyDescent="0.25">
      <c r="E1040" s="13"/>
    </row>
    <row r="1041" spans="5:5" ht="13.2" x14ac:dyDescent="0.25">
      <c r="E1041" s="13"/>
    </row>
    <row r="1042" spans="5:5" ht="13.2" x14ac:dyDescent="0.25">
      <c r="E1042" s="13"/>
    </row>
    <row r="1043" spans="5:5" ht="13.2" x14ac:dyDescent="0.25">
      <c r="E1043" s="13"/>
    </row>
    <row r="1044" spans="5:5" ht="13.2" x14ac:dyDescent="0.25">
      <c r="E1044" s="13"/>
    </row>
    <row r="1045" spans="5:5" ht="13.2" x14ac:dyDescent="0.25">
      <c r="E1045" s="13"/>
    </row>
    <row r="1046" spans="5:5" ht="13.2" x14ac:dyDescent="0.25">
      <c r="E1046" s="13"/>
    </row>
    <row r="1047" spans="5:5" ht="13.2" x14ac:dyDescent="0.25">
      <c r="E1047" s="13"/>
    </row>
    <row r="1048" spans="5:5" ht="13.2" x14ac:dyDescent="0.25">
      <c r="E1048" s="13"/>
    </row>
    <row r="1049" spans="5:5" ht="13.2" x14ac:dyDescent="0.25">
      <c r="E1049" s="13"/>
    </row>
    <row r="1050" spans="5:5" ht="13.2" x14ac:dyDescent="0.25">
      <c r="E1050" s="13"/>
    </row>
    <row r="1051" spans="5:5" ht="13.2" x14ac:dyDescent="0.25">
      <c r="E1051" s="13"/>
    </row>
    <row r="1052" spans="5:5" ht="13.2" x14ac:dyDescent="0.25">
      <c r="E1052" s="13"/>
    </row>
    <row r="1053" spans="5:5" ht="13.2" x14ac:dyDescent="0.25">
      <c r="E1053" s="13"/>
    </row>
    <row r="1054" spans="5:5" ht="13.2" x14ac:dyDescent="0.25">
      <c r="E1054" s="13"/>
    </row>
    <row r="1055" spans="5:5" ht="13.2" x14ac:dyDescent="0.25">
      <c r="E1055" s="13"/>
    </row>
    <row r="1056" spans="5:5" ht="13.2" x14ac:dyDescent="0.25">
      <c r="E1056" s="13"/>
    </row>
    <row r="1057" spans="5:5" ht="13.2" x14ac:dyDescent="0.25">
      <c r="E1057" s="13"/>
    </row>
    <row r="1058" spans="5:5" ht="13.2" x14ac:dyDescent="0.25">
      <c r="E1058" s="13"/>
    </row>
    <row r="1059" spans="5:5" ht="13.2" x14ac:dyDescent="0.25">
      <c r="E1059" s="13"/>
    </row>
    <row r="1060" spans="5:5" ht="13.2" x14ac:dyDescent="0.25">
      <c r="E1060" s="13"/>
    </row>
    <row r="1061" spans="5:5" ht="13.2" x14ac:dyDescent="0.25">
      <c r="E1061" s="13"/>
    </row>
    <row r="1062" spans="5:5" ht="13.2" x14ac:dyDescent="0.25">
      <c r="E1062" s="13"/>
    </row>
    <row r="1063" spans="5:5" ht="13.2" x14ac:dyDescent="0.25">
      <c r="E1063" s="13"/>
    </row>
    <row r="1064" spans="5:5" ht="13.2" x14ac:dyDescent="0.25">
      <c r="E1064" s="13"/>
    </row>
    <row r="1065" spans="5:5" ht="13.2" x14ac:dyDescent="0.25">
      <c r="E1065" s="13"/>
    </row>
    <row r="1066" spans="5:5" ht="13.2" x14ac:dyDescent="0.25">
      <c r="E1066" s="13"/>
    </row>
    <row r="1067" spans="5:5" ht="13.2" x14ac:dyDescent="0.25">
      <c r="E1067" s="13"/>
    </row>
    <row r="1068" spans="5:5" ht="13.2" x14ac:dyDescent="0.25">
      <c r="E1068" s="13"/>
    </row>
    <row r="1069" spans="5:5" ht="13.2" x14ac:dyDescent="0.25">
      <c r="E1069" s="13"/>
    </row>
    <row r="1070" spans="5:5" ht="13.2" x14ac:dyDescent="0.25">
      <c r="E1070" s="13"/>
    </row>
    <row r="1071" spans="5:5" ht="13.2" x14ac:dyDescent="0.25">
      <c r="E1071" s="13"/>
    </row>
    <row r="1072" spans="5:5" ht="13.2" x14ac:dyDescent="0.25">
      <c r="E1072" s="13"/>
    </row>
    <row r="1073" spans="5:5" ht="13.2" x14ac:dyDescent="0.25">
      <c r="E1073" s="13"/>
    </row>
    <row r="1074" spans="5:5" ht="13.2" x14ac:dyDescent="0.25">
      <c r="E1074" s="13"/>
    </row>
    <row r="1075" spans="5:5" ht="13.2" x14ac:dyDescent="0.25">
      <c r="E1075" s="13"/>
    </row>
    <row r="1076" spans="5:5" ht="13.2" x14ac:dyDescent="0.25">
      <c r="E1076" s="13"/>
    </row>
    <row r="1077" spans="5:5" ht="13.2" x14ac:dyDescent="0.25">
      <c r="E1077" s="13"/>
    </row>
    <row r="1078" spans="5:5" ht="13.2" x14ac:dyDescent="0.25">
      <c r="E1078" s="13"/>
    </row>
    <row r="1079" spans="5:5" ht="13.2" x14ac:dyDescent="0.25">
      <c r="E1079" s="13"/>
    </row>
    <row r="1080" spans="5:5" ht="13.2" x14ac:dyDescent="0.25">
      <c r="E1080" s="13"/>
    </row>
    <row r="1081" spans="5:5" ht="13.2" x14ac:dyDescent="0.25">
      <c r="E1081" s="13"/>
    </row>
    <row r="1082" spans="5:5" ht="13.2" x14ac:dyDescent="0.25">
      <c r="E1082" s="13"/>
    </row>
    <row r="1083" spans="5:5" ht="13.2" x14ac:dyDescent="0.25">
      <c r="E1083" s="13"/>
    </row>
    <row r="1084" spans="5:5" ht="13.2" x14ac:dyDescent="0.25">
      <c r="E1084" s="13"/>
    </row>
    <row r="1085" spans="5:5" ht="13.2" x14ac:dyDescent="0.25">
      <c r="E1085" s="13"/>
    </row>
    <row r="1086" spans="5:5" ht="13.2" x14ac:dyDescent="0.25">
      <c r="E1086" s="13"/>
    </row>
    <row r="1087" spans="5:5" ht="13.2" x14ac:dyDescent="0.25">
      <c r="E1087" s="13"/>
    </row>
    <row r="1088" spans="5:5" ht="13.2" x14ac:dyDescent="0.25">
      <c r="E1088" s="13"/>
    </row>
    <row r="1089" spans="5:5" ht="13.2" x14ac:dyDescent="0.25">
      <c r="E1089" s="13"/>
    </row>
    <row r="1090" spans="5:5" ht="13.2" x14ac:dyDescent="0.25">
      <c r="E1090" s="13"/>
    </row>
    <row r="1091" spans="5:5" ht="13.2" x14ac:dyDescent="0.25">
      <c r="E1091" s="13"/>
    </row>
    <row r="1092" spans="5:5" ht="13.2" x14ac:dyDescent="0.25">
      <c r="E1092" s="13"/>
    </row>
    <row r="1093" spans="5:5" ht="13.2" x14ac:dyDescent="0.25">
      <c r="E1093" s="13"/>
    </row>
    <row r="1094" spans="5:5" ht="13.2" x14ac:dyDescent="0.25">
      <c r="E1094" s="13"/>
    </row>
    <row r="1095" spans="5:5" ht="13.2" x14ac:dyDescent="0.25">
      <c r="E1095" s="1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14"/>
  <sheetViews>
    <sheetView tabSelected="1" topLeftCell="D149" workbookViewId="0">
      <selection activeCell="G154" sqref="G154:J162"/>
    </sheetView>
  </sheetViews>
  <sheetFormatPr defaultColWidth="12.6640625" defaultRowHeight="15" customHeight="1" x14ac:dyDescent="0.25"/>
  <cols>
    <col min="1" max="1" width="22.77734375" customWidth="1"/>
  </cols>
  <sheetData>
    <row r="1" spans="1:10" x14ac:dyDescent="0.25">
      <c r="A1" s="1" t="s">
        <v>0</v>
      </c>
      <c r="B1" s="1" t="s">
        <v>1</v>
      </c>
      <c r="C1" s="2" t="s">
        <v>178</v>
      </c>
      <c r="D1" s="2" t="s">
        <v>2</v>
      </c>
      <c r="E1" s="2" t="s">
        <v>3</v>
      </c>
      <c r="F1" s="3" t="s">
        <v>4</v>
      </c>
      <c r="G1" s="14" t="s">
        <v>179</v>
      </c>
      <c r="H1" s="1" t="s">
        <v>180</v>
      </c>
      <c r="I1" s="15" t="s">
        <v>181</v>
      </c>
      <c r="J1" s="1" t="s">
        <v>182</v>
      </c>
    </row>
    <row r="2" spans="1:10" x14ac:dyDescent="0.25">
      <c r="A2" s="4" t="s">
        <v>5</v>
      </c>
      <c r="B2" s="4">
        <v>2</v>
      </c>
      <c r="C2" s="5" t="s">
        <v>183</v>
      </c>
      <c r="D2" s="5" t="s">
        <v>6</v>
      </c>
      <c r="E2" s="6">
        <v>700</v>
      </c>
      <c r="F2" s="7">
        <f t="shared" ref="F2:F15" si="0">E2/220</f>
        <v>3.1818181818181817</v>
      </c>
      <c r="G2" s="16">
        <v>2.5</v>
      </c>
      <c r="H2" s="16">
        <v>2.5</v>
      </c>
      <c r="I2" s="16">
        <v>2.5</v>
      </c>
      <c r="J2" s="17">
        <v>6</v>
      </c>
    </row>
    <row r="3" spans="1:10" x14ac:dyDescent="0.25">
      <c r="A3" s="4" t="s">
        <v>5</v>
      </c>
      <c r="B3" s="4">
        <v>3</v>
      </c>
      <c r="C3" s="5" t="s">
        <v>183</v>
      </c>
      <c r="D3" s="5" t="s">
        <v>7</v>
      </c>
      <c r="E3" s="6">
        <v>1050</v>
      </c>
      <c r="F3" s="7">
        <f t="shared" si="0"/>
        <v>4.7727272727272725</v>
      </c>
      <c r="G3" s="16">
        <v>2.5</v>
      </c>
      <c r="H3" s="16">
        <v>2.5</v>
      </c>
      <c r="I3" s="16">
        <v>2.5</v>
      </c>
      <c r="J3" s="17">
        <v>6</v>
      </c>
    </row>
    <row r="4" spans="1:10" x14ac:dyDescent="0.25">
      <c r="A4" s="4" t="s">
        <v>8</v>
      </c>
      <c r="B4" s="4">
        <v>1</v>
      </c>
      <c r="C4" s="5" t="s">
        <v>183</v>
      </c>
      <c r="D4" s="5" t="s">
        <v>9</v>
      </c>
      <c r="E4" s="6">
        <v>1120</v>
      </c>
      <c r="F4" s="7">
        <f t="shared" si="0"/>
        <v>5.0909090909090908</v>
      </c>
      <c r="G4" s="16">
        <v>2.5</v>
      </c>
      <c r="H4" s="16">
        <v>2.5</v>
      </c>
      <c r="I4" s="16">
        <v>2.5</v>
      </c>
      <c r="J4" s="17">
        <v>6</v>
      </c>
    </row>
    <row r="5" spans="1:10" x14ac:dyDescent="0.25">
      <c r="A5" s="4" t="s">
        <v>8</v>
      </c>
      <c r="B5" s="4">
        <v>1</v>
      </c>
      <c r="C5" s="5" t="s">
        <v>183</v>
      </c>
      <c r="D5" s="5" t="s">
        <v>10</v>
      </c>
      <c r="E5" s="6">
        <v>1120</v>
      </c>
      <c r="F5" s="7">
        <f t="shared" si="0"/>
        <v>5.0909090909090908</v>
      </c>
      <c r="G5" s="16">
        <v>2.5</v>
      </c>
      <c r="H5" s="16">
        <v>2.5</v>
      </c>
      <c r="I5" s="16">
        <v>2.5</v>
      </c>
      <c r="J5" s="17">
        <v>6</v>
      </c>
    </row>
    <row r="6" spans="1:10" x14ac:dyDescent="0.25">
      <c r="A6" s="4" t="s">
        <v>8</v>
      </c>
      <c r="B6" s="4">
        <v>1</v>
      </c>
      <c r="C6" s="5" t="s">
        <v>183</v>
      </c>
      <c r="D6" s="5" t="s">
        <v>11</v>
      </c>
      <c r="E6" s="6">
        <v>1120</v>
      </c>
      <c r="F6" s="7">
        <f t="shared" si="0"/>
        <v>5.0909090909090908</v>
      </c>
      <c r="G6" s="16">
        <v>2.5</v>
      </c>
      <c r="H6" s="16">
        <v>2.5</v>
      </c>
      <c r="I6" s="16">
        <v>2.5</v>
      </c>
      <c r="J6" s="17">
        <v>6</v>
      </c>
    </row>
    <row r="7" spans="1:10" x14ac:dyDescent="0.25">
      <c r="A7" s="4" t="s">
        <v>8</v>
      </c>
      <c r="B7" s="4">
        <v>1</v>
      </c>
      <c r="C7" s="5" t="s">
        <v>183</v>
      </c>
      <c r="D7" s="5" t="s">
        <v>12</v>
      </c>
      <c r="E7" s="6">
        <v>1120</v>
      </c>
      <c r="F7" s="7">
        <f t="shared" si="0"/>
        <v>5.0909090909090908</v>
      </c>
      <c r="G7" s="16">
        <v>2.5</v>
      </c>
      <c r="H7" s="16">
        <v>2.5</v>
      </c>
      <c r="I7" s="16">
        <v>2.5</v>
      </c>
      <c r="J7" s="17">
        <v>6</v>
      </c>
    </row>
    <row r="8" spans="1:10" x14ac:dyDescent="0.25">
      <c r="A8" s="4" t="s">
        <v>8</v>
      </c>
      <c r="B8" s="4">
        <v>1</v>
      </c>
      <c r="C8" s="5" t="s">
        <v>183</v>
      </c>
      <c r="D8" s="5" t="s">
        <v>13</v>
      </c>
      <c r="E8" s="6">
        <v>1120</v>
      </c>
      <c r="F8" s="7">
        <f t="shared" si="0"/>
        <v>5.0909090909090908</v>
      </c>
      <c r="G8" s="16">
        <v>2.5</v>
      </c>
      <c r="H8" s="16">
        <v>2.5</v>
      </c>
      <c r="I8" s="16">
        <v>2.5</v>
      </c>
      <c r="J8" s="17">
        <v>6</v>
      </c>
    </row>
    <row r="9" spans="1:10" x14ac:dyDescent="0.25">
      <c r="A9" s="4" t="s">
        <v>8</v>
      </c>
      <c r="B9" s="4">
        <v>1</v>
      </c>
      <c r="C9" s="5" t="s">
        <v>183</v>
      </c>
      <c r="D9" s="5" t="s">
        <v>14</v>
      </c>
      <c r="E9" s="6">
        <v>1120</v>
      </c>
      <c r="F9" s="7">
        <f t="shared" si="0"/>
        <v>5.0909090909090908</v>
      </c>
      <c r="G9" s="16">
        <v>2.5</v>
      </c>
      <c r="H9" s="16">
        <v>2.5</v>
      </c>
      <c r="I9" s="16">
        <v>2.5</v>
      </c>
      <c r="J9" s="17">
        <v>6</v>
      </c>
    </row>
    <row r="10" spans="1:10" x14ac:dyDescent="0.25">
      <c r="A10" s="4" t="s">
        <v>15</v>
      </c>
      <c r="B10" s="4">
        <v>1</v>
      </c>
      <c r="C10" s="5" t="s">
        <v>183</v>
      </c>
      <c r="D10" s="5" t="s">
        <v>16</v>
      </c>
      <c r="E10" s="6">
        <v>1500</v>
      </c>
      <c r="F10" s="7">
        <f t="shared" si="0"/>
        <v>6.8181818181818183</v>
      </c>
      <c r="G10" s="16">
        <v>2.5</v>
      </c>
      <c r="H10" s="16">
        <v>2.5</v>
      </c>
      <c r="I10" s="16">
        <v>2.5</v>
      </c>
      <c r="J10" s="17">
        <v>10</v>
      </c>
    </row>
    <row r="11" spans="1:10" x14ac:dyDescent="0.25">
      <c r="A11" s="8" t="s">
        <v>17</v>
      </c>
      <c r="B11" s="8">
        <v>1</v>
      </c>
      <c r="C11" s="5" t="s">
        <v>183</v>
      </c>
      <c r="D11" s="5" t="s">
        <v>18</v>
      </c>
      <c r="E11" s="9">
        <v>2200</v>
      </c>
      <c r="F11" s="7">
        <f t="shared" si="0"/>
        <v>10</v>
      </c>
      <c r="G11" s="16">
        <v>2.5</v>
      </c>
      <c r="H11" s="16">
        <v>2.5</v>
      </c>
      <c r="I11" s="16">
        <v>2.5</v>
      </c>
      <c r="J11" s="17">
        <v>12</v>
      </c>
    </row>
    <row r="12" spans="1:10" x14ac:dyDescent="0.25">
      <c r="A12" s="8" t="s">
        <v>17</v>
      </c>
      <c r="B12" s="8">
        <v>1</v>
      </c>
      <c r="C12" s="5" t="s">
        <v>183</v>
      </c>
      <c r="D12" s="5" t="s">
        <v>19</v>
      </c>
      <c r="E12" s="9">
        <v>2200</v>
      </c>
      <c r="F12" s="7">
        <f t="shared" si="0"/>
        <v>10</v>
      </c>
      <c r="G12" s="16">
        <v>2.5</v>
      </c>
      <c r="H12" s="16">
        <v>2.5</v>
      </c>
      <c r="I12" s="16">
        <v>2.5</v>
      </c>
      <c r="J12" s="17">
        <v>12</v>
      </c>
    </row>
    <row r="13" spans="1:10" x14ac:dyDescent="0.25">
      <c r="A13" s="8" t="s">
        <v>17</v>
      </c>
      <c r="B13" s="8">
        <v>1</v>
      </c>
      <c r="C13" s="5" t="s">
        <v>183</v>
      </c>
      <c r="D13" s="5" t="s">
        <v>20</v>
      </c>
      <c r="E13" s="9">
        <v>2200</v>
      </c>
      <c r="F13" s="7">
        <f t="shared" si="0"/>
        <v>10</v>
      </c>
      <c r="G13" s="16">
        <v>2.5</v>
      </c>
      <c r="H13" s="16">
        <v>2.5</v>
      </c>
      <c r="I13" s="16">
        <v>2.5</v>
      </c>
      <c r="J13" s="17">
        <v>12</v>
      </c>
    </row>
    <row r="14" spans="1:10" x14ac:dyDescent="0.25">
      <c r="A14" s="8" t="s">
        <v>17</v>
      </c>
      <c r="B14" s="8">
        <v>1</v>
      </c>
      <c r="C14" s="5" t="s">
        <v>183</v>
      </c>
      <c r="D14" s="5" t="s">
        <v>21</v>
      </c>
      <c r="E14" s="9">
        <v>2200</v>
      </c>
      <c r="F14" s="7">
        <f t="shared" si="0"/>
        <v>10</v>
      </c>
      <c r="G14" s="16">
        <v>2.5</v>
      </c>
      <c r="H14" s="16">
        <v>2.5</v>
      </c>
      <c r="I14" s="16">
        <v>2.5</v>
      </c>
      <c r="J14" s="17">
        <v>12</v>
      </c>
    </row>
    <row r="15" spans="1:10" x14ac:dyDescent="0.25">
      <c r="A15" s="8" t="s">
        <v>17</v>
      </c>
      <c r="B15" s="8">
        <v>1</v>
      </c>
      <c r="C15" s="5" t="s">
        <v>183</v>
      </c>
      <c r="D15" s="5" t="s">
        <v>22</v>
      </c>
      <c r="E15" s="9">
        <v>2200</v>
      </c>
      <c r="F15" s="7">
        <f t="shared" si="0"/>
        <v>10</v>
      </c>
      <c r="G15" s="16">
        <v>2.5</v>
      </c>
      <c r="H15" s="16">
        <v>2.5</v>
      </c>
      <c r="I15" s="16">
        <v>2.5</v>
      </c>
      <c r="J15" s="17">
        <v>12</v>
      </c>
    </row>
    <row r="16" spans="1:10" x14ac:dyDescent="0.25">
      <c r="A16" s="8"/>
      <c r="B16" s="8"/>
      <c r="C16" s="5"/>
      <c r="D16" s="5"/>
      <c r="E16" s="9"/>
      <c r="F16" s="7"/>
      <c r="G16" s="16"/>
      <c r="H16" s="16"/>
      <c r="I16" s="16"/>
      <c r="J16" s="17"/>
    </row>
    <row r="17" spans="1:10" x14ac:dyDescent="0.25">
      <c r="A17" s="8"/>
      <c r="B17" s="8"/>
      <c r="C17" s="5"/>
      <c r="D17" s="5"/>
      <c r="E17" s="9"/>
      <c r="F17" s="7"/>
      <c r="G17" s="16"/>
      <c r="H17" s="16"/>
      <c r="I17" s="16"/>
      <c r="J17" s="17"/>
    </row>
    <row r="18" spans="1:10" x14ac:dyDescent="0.25">
      <c r="A18" s="1" t="s">
        <v>23</v>
      </c>
      <c r="B18" s="1" t="s">
        <v>1</v>
      </c>
      <c r="C18" s="2" t="s">
        <v>178</v>
      </c>
      <c r="D18" s="2" t="s">
        <v>2</v>
      </c>
      <c r="E18" s="2" t="s">
        <v>3</v>
      </c>
      <c r="F18" s="3" t="s">
        <v>4</v>
      </c>
      <c r="G18" s="14" t="s">
        <v>179</v>
      </c>
      <c r="H18" s="1" t="s">
        <v>180</v>
      </c>
      <c r="I18" s="15" t="s">
        <v>181</v>
      </c>
      <c r="J18" s="1" t="s">
        <v>182</v>
      </c>
    </row>
    <row r="19" spans="1:10" x14ac:dyDescent="0.25">
      <c r="A19" s="4" t="s">
        <v>24</v>
      </c>
      <c r="B19" s="4">
        <v>1</v>
      </c>
      <c r="C19" s="5" t="s">
        <v>183</v>
      </c>
      <c r="D19" s="4" t="s">
        <v>25</v>
      </c>
      <c r="E19" s="6">
        <v>3000</v>
      </c>
      <c r="F19" s="7">
        <f t="shared" ref="F19:F29" si="1">E19/220</f>
        <v>13.636363636363637</v>
      </c>
      <c r="G19" s="16">
        <v>2.5</v>
      </c>
      <c r="H19" s="16">
        <v>2.5</v>
      </c>
      <c r="I19" s="16">
        <v>2.5</v>
      </c>
      <c r="J19" s="17">
        <v>15</v>
      </c>
    </row>
    <row r="20" spans="1:10" x14ac:dyDescent="0.25">
      <c r="A20" s="4" t="s">
        <v>24</v>
      </c>
      <c r="B20" s="4">
        <v>1</v>
      </c>
      <c r="C20" s="5" t="s">
        <v>183</v>
      </c>
      <c r="D20" s="4" t="s">
        <v>26</v>
      </c>
      <c r="E20" s="6">
        <v>3000</v>
      </c>
      <c r="F20" s="7">
        <f t="shared" si="1"/>
        <v>13.636363636363637</v>
      </c>
      <c r="G20" s="16">
        <v>2.5</v>
      </c>
      <c r="H20" s="16">
        <v>2.5</v>
      </c>
      <c r="I20" s="16">
        <v>2.5</v>
      </c>
      <c r="J20" s="17">
        <v>15</v>
      </c>
    </row>
    <row r="21" spans="1:10" x14ac:dyDescent="0.25">
      <c r="A21" s="4" t="s">
        <v>24</v>
      </c>
      <c r="B21" s="4">
        <v>1</v>
      </c>
      <c r="C21" s="5" t="s">
        <v>183</v>
      </c>
      <c r="D21" s="4" t="s">
        <v>27</v>
      </c>
      <c r="E21" s="6">
        <v>3000</v>
      </c>
      <c r="F21" s="7">
        <f t="shared" si="1"/>
        <v>13.636363636363637</v>
      </c>
      <c r="G21" s="16">
        <v>2.5</v>
      </c>
      <c r="H21" s="16">
        <v>2.5</v>
      </c>
      <c r="I21" s="16">
        <v>2.5</v>
      </c>
      <c r="J21" s="17">
        <v>15</v>
      </c>
    </row>
    <row r="22" spans="1:10" x14ac:dyDescent="0.25">
      <c r="A22" s="4" t="s">
        <v>24</v>
      </c>
      <c r="B22" s="4">
        <v>1</v>
      </c>
      <c r="C22" s="5" t="s">
        <v>183</v>
      </c>
      <c r="D22" s="4" t="s">
        <v>28</v>
      </c>
      <c r="E22" s="6">
        <v>3000</v>
      </c>
      <c r="F22" s="7">
        <f t="shared" si="1"/>
        <v>13.636363636363637</v>
      </c>
      <c r="G22" s="16">
        <v>2.5</v>
      </c>
      <c r="H22" s="16">
        <v>2.5</v>
      </c>
      <c r="I22" s="16">
        <v>2.5</v>
      </c>
      <c r="J22" s="17">
        <v>15</v>
      </c>
    </row>
    <row r="23" spans="1:10" x14ac:dyDescent="0.25">
      <c r="A23" s="4" t="s">
        <v>24</v>
      </c>
      <c r="B23" s="4">
        <v>1</v>
      </c>
      <c r="C23" s="5" t="s">
        <v>183</v>
      </c>
      <c r="D23" s="4" t="s">
        <v>29</v>
      </c>
      <c r="E23" s="6">
        <v>3000</v>
      </c>
      <c r="F23" s="7">
        <f t="shared" si="1"/>
        <v>13.636363636363637</v>
      </c>
      <c r="G23" s="16">
        <v>2.5</v>
      </c>
      <c r="H23" s="16">
        <v>2.5</v>
      </c>
      <c r="I23" s="16">
        <v>2.5</v>
      </c>
      <c r="J23" s="17">
        <v>15</v>
      </c>
    </row>
    <row r="24" spans="1:10" x14ac:dyDescent="0.25">
      <c r="A24" s="4" t="s">
        <v>30</v>
      </c>
      <c r="B24" s="4">
        <v>3</v>
      </c>
      <c r="C24" s="5" t="s">
        <v>183</v>
      </c>
      <c r="D24" s="4" t="s">
        <v>31</v>
      </c>
      <c r="E24" s="6">
        <v>1350</v>
      </c>
      <c r="F24" s="7">
        <f t="shared" si="1"/>
        <v>6.1363636363636367</v>
      </c>
      <c r="G24" s="16">
        <v>2.5</v>
      </c>
      <c r="H24" s="16">
        <v>2.5</v>
      </c>
      <c r="I24" s="16">
        <v>2.5</v>
      </c>
      <c r="J24" s="17">
        <v>10</v>
      </c>
    </row>
    <row r="25" spans="1:10" x14ac:dyDescent="0.25">
      <c r="A25" s="4" t="s">
        <v>30</v>
      </c>
      <c r="B25" s="4">
        <v>2</v>
      </c>
      <c r="C25" s="5" t="s">
        <v>183</v>
      </c>
      <c r="D25" s="4" t="s">
        <v>32</v>
      </c>
      <c r="E25" s="6">
        <v>900</v>
      </c>
      <c r="F25" s="7">
        <f t="shared" si="1"/>
        <v>4.0909090909090908</v>
      </c>
      <c r="G25" s="16">
        <v>2.5</v>
      </c>
      <c r="H25" s="16">
        <v>2.5</v>
      </c>
      <c r="I25" s="16">
        <v>2.5</v>
      </c>
      <c r="J25" s="17">
        <v>6</v>
      </c>
    </row>
    <row r="26" spans="1:10" x14ac:dyDescent="0.25">
      <c r="A26" s="4" t="s">
        <v>17</v>
      </c>
      <c r="B26" s="4">
        <v>1</v>
      </c>
      <c r="C26" s="5" t="s">
        <v>183</v>
      </c>
      <c r="D26" s="4" t="s">
        <v>33</v>
      </c>
      <c r="E26" s="6">
        <v>2200</v>
      </c>
      <c r="F26" s="7">
        <f t="shared" si="1"/>
        <v>10</v>
      </c>
      <c r="G26" s="16">
        <v>2.5</v>
      </c>
      <c r="H26" s="16">
        <v>2.5</v>
      </c>
      <c r="I26" s="16">
        <v>2.5</v>
      </c>
      <c r="J26" s="17">
        <v>12</v>
      </c>
    </row>
    <row r="27" spans="1:10" x14ac:dyDescent="0.25">
      <c r="A27" s="4" t="s">
        <v>17</v>
      </c>
      <c r="B27" s="4">
        <v>1</v>
      </c>
      <c r="C27" s="5" t="s">
        <v>183</v>
      </c>
      <c r="D27" s="4" t="s">
        <v>34</v>
      </c>
      <c r="E27" s="6">
        <v>2200</v>
      </c>
      <c r="F27" s="7">
        <f t="shared" si="1"/>
        <v>10</v>
      </c>
      <c r="G27" s="16">
        <v>2.5</v>
      </c>
      <c r="H27" s="16">
        <v>2.5</v>
      </c>
      <c r="I27" s="16">
        <v>2.5</v>
      </c>
      <c r="J27" s="17">
        <v>12</v>
      </c>
    </row>
    <row r="28" spans="1:10" x14ac:dyDescent="0.25">
      <c r="A28" s="4" t="s">
        <v>17</v>
      </c>
      <c r="B28" s="4">
        <v>1</v>
      </c>
      <c r="C28" s="5" t="s">
        <v>183</v>
      </c>
      <c r="D28" s="4" t="s">
        <v>35</v>
      </c>
      <c r="E28" s="6">
        <v>2200</v>
      </c>
      <c r="F28" s="7">
        <f t="shared" si="1"/>
        <v>10</v>
      </c>
      <c r="G28" s="16">
        <v>2.5</v>
      </c>
      <c r="H28" s="16">
        <v>2.5</v>
      </c>
      <c r="I28" s="16">
        <v>2.5</v>
      </c>
      <c r="J28" s="17">
        <v>12</v>
      </c>
    </row>
    <row r="29" spans="1:10" x14ac:dyDescent="0.25">
      <c r="A29" s="4" t="s">
        <v>17</v>
      </c>
      <c r="B29" s="4">
        <v>1</v>
      </c>
      <c r="C29" s="5" t="s">
        <v>183</v>
      </c>
      <c r="D29" s="4" t="s">
        <v>36</v>
      </c>
      <c r="E29" s="6">
        <v>2200</v>
      </c>
      <c r="F29" s="7">
        <f t="shared" si="1"/>
        <v>10</v>
      </c>
      <c r="G29" s="16">
        <v>2.5</v>
      </c>
      <c r="H29" s="16">
        <v>2.5</v>
      </c>
      <c r="I29" s="16">
        <v>2.5</v>
      </c>
      <c r="J29" s="17">
        <v>12</v>
      </c>
    </row>
    <row r="30" spans="1:10" x14ac:dyDescent="0.25">
      <c r="A30" s="4"/>
      <c r="B30" s="4"/>
      <c r="C30" s="5"/>
      <c r="D30" s="4"/>
      <c r="E30" s="6"/>
      <c r="F30" s="7"/>
      <c r="G30" s="16"/>
      <c r="H30" s="16"/>
      <c r="I30" s="16"/>
      <c r="J30" s="17"/>
    </row>
    <row r="31" spans="1:10" x14ac:dyDescent="0.25">
      <c r="A31" s="4"/>
      <c r="B31" s="4"/>
      <c r="C31" s="5"/>
      <c r="D31" s="4"/>
      <c r="E31" s="6"/>
      <c r="F31" s="7"/>
      <c r="G31" s="16"/>
      <c r="H31" s="16"/>
      <c r="I31" s="16"/>
      <c r="J31" s="17"/>
    </row>
    <row r="32" spans="1:10" x14ac:dyDescent="0.25">
      <c r="A32" s="1" t="s">
        <v>37</v>
      </c>
      <c r="B32" s="1" t="s">
        <v>1</v>
      </c>
      <c r="C32" s="2" t="s">
        <v>178</v>
      </c>
      <c r="D32" s="2" t="s">
        <v>2</v>
      </c>
      <c r="E32" s="2" t="s">
        <v>3</v>
      </c>
      <c r="F32" s="3" t="s">
        <v>4</v>
      </c>
      <c r="G32" s="14" t="s">
        <v>179</v>
      </c>
      <c r="H32" s="1" t="s">
        <v>180</v>
      </c>
      <c r="I32" s="15" t="s">
        <v>181</v>
      </c>
      <c r="J32" s="1" t="s">
        <v>182</v>
      </c>
    </row>
    <row r="33" spans="1:10" x14ac:dyDescent="0.25">
      <c r="A33" s="4" t="s">
        <v>38</v>
      </c>
      <c r="B33" s="4">
        <v>2</v>
      </c>
      <c r="C33" s="5" t="s">
        <v>183</v>
      </c>
      <c r="D33" s="4" t="s">
        <v>39</v>
      </c>
      <c r="E33" s="6">
        <v>1140</v>
      </c>
      <c r="F33" s="7">
        <f t="shared" ref="F33:F62" si="2">E33/220</f>
        <v>5.1818181818181817</v>
      </c>
      <c r="G33" s="16">
        <v>2.5</v>
      </c>
      <c r="H33" s="16">
        <v>2.5</v>
      </c>
      <c r="I33" s="16">
        <v>2.5</v>
      </c>
      <c r="J33" s="17">
        <v>6</v>
      </c>
    </row>
    <row r="34" spans="1:10" x14ac:dyDescent="0.25">
      <c r="A34" s="4" t="s">
        <v>40</v>
      </c>
      <c r="B34" s="4">
        <v>1</v>
      </c>
      <c r="C34" s="5" t="s">
        <v>183</v>
      </c>
      <c r="D34" s="4" t="s">
        <v>41</v>
      </c>
      <c r="E34" s="6">
        <v>9000</v>
      </c>
      <c r="F34" s="7">
        <f t="shared" si="2"/>
        <v>40.909090909090907</v>
      </c>
      <c r="G34" s="16">
        <v>2.5</v>
      </c>
      <c r="H34" s="16">
        <v>2.5</v>
      </c>
      <c r="I34" s="16">
        <v>2.5</v>
      </c>
      <c r="J34" s="17">
        <v>50</v>
      </c>
    </row>
    <row r="35" spans="1:10" x14ac:dyDescent="0.25">
      <c r="A35" s="4" t="s">
        <v>40</v>
      </c>
      <c r="B35" s="4">
        <v>1</v>
      </c>
      <c r="C35" s="5" t="s">
        <v>183</v>
      </c>
      <c r="D35" s="4" t="s">
        <v>42</v>
      </c>
      <c r="E35" s="6">
        <v>9000</v>
      </c>
      <c r="F35" s="7">
        <f t="shared" si="2"/>
        <v>40.909090909090907</v>
      </c>
      <c r="G35" s="16">
        <v>2.5</v>
      </c>
      <c r="H35" s="16">
        <v>2.5</v>
      </c>
      <c r="I35" s="16">
        <v>2.5</v>
      </c>
      <c r="J35" s="17">
        <v>50</v>
      </c>
    </row>
    <row r="36" spans="1:10" x14ac:dyDescent="0.25">
      <c r="A36" s="4" t="s">
        <v>40</v>
      </c>
      <c r="B36" s="4">
        <v>1</v>
      </c>
      <c r="C36" s="5" t="s">
        <v>183</v>
      </c>
      <c r="D36" s="4" t="s">
        <v>43</v>
      </c>
      <c r="E36" s="6">
        <v>9000</v>
      </c>
      <c r="F36" s="7">
        <f t="shared" si="2"/>
        <v>40.909090909090907</v>
      </c>
      <c r="G36" s="16">
        <v>2.5</v>
      </c>
      <c r="H36" s="16">
        <v>2.5</v>
      </c>
      <c r="I36" s="16">
        <v>2.5</v>
      </c>
      <c r="J36" s="17">
        <v>50</v>
      </c>
    </row>
    <row r="37" spans="1:10" x14ac:dyDescent="0.25">
      <c r="A37" s="4" t="s">
        <v>40</v>
      </c>
      <c r="B37" s="4">
        <v>1</v>
      </c>
      <c r="C37" s="5" t="s">
        <v>183</v>
      </c>
      <c r="D37" s="4" t="s">
        <v>44</v>
      </c>
      <c r="E37" s="6">
        <v>9000</v>
      </c>
      <c r="F37" s="7">
        <f t="shared" si="2"/>
        <v>40.909090909090907</v>
      </c>
      <c r="G37" s="16">
        <v>2.5</v>
      </c>
      <c r="H37" s="16">
        <v>2.5</v>
      </c>
      <c r="I37" s="16">
        <v>2.5</v>
      </c>
      <c r="J37" s="17">
        <v>50</v>
      </c>
    </row>
    <row r="38" spans="1:10" x14ac:dyDescent="0.25">
      <c r="A38" s="4" t="s">
        <v>45</v>
      </c>
      <c r="B38" s="4">
        <v>1</v>
      </c>
      <c r="C38" s="5" t="s">
        <v>183</v>
      </c>
      <c r="D38" s="4" t="s">
        <v>46</v>
      </c>
      <c r="E38" s="6">
        <v>4000</v>
      </c>
      <c r="F38" s="7">
        <f t="shared" si="2"/>
        <v>18.181818181818183</v>
      </c>
      <c r="G38" s="16">
        <v>2.5</v>
      </c>
      <c r="H38" s="16">
        <v>2.5</v>
      </c>
      <c r="I38" s="16">
        <v>2.5</v>
      </c>
      <c r="J38" s="17">
        <v>20</v>
      </c>
    </row>
    <row r="39" spans="1:10" x14ac:dyDescent="0.25">
      <c r="A39" s="4" t="s">
        <v>45</v>
      </c>
      <c r="B39" s="4">
        <v>1</v>
      </c>
      <c r="C39" s="5" t="s">
        <v>183</v>
      </c>
      <c r="D39" s="4" t="s">
        <v>47</v>
      </c>
      <c r="E39" s="6">
        <v>4000</v>
      </c>
      <c r="F39" s="7">
        <f t="shared" si="2"/>
        <v>18.181818181818183</v>
      </c>
      <c r="G39" s="16">
        <v>2.5</v>
      </c>
      <c r="H39" s="16">
        <v>2.5</v>
      </c>
      <c r="I39" s="16">
        <v>2.5</v>
      </c>
      <c r="J39" s="17">
        <v>20</v>
      </c>
    </row>
    <row r="40" spans="1:10" x14ac:dyDescent="0.25">
      <c r="A40" s="4" t="s">
        <v>45</v>
      </c>
      <c r="B40" s="4">
        <v>1</v>
      </c>
      <c r="C40" s="5" t="s">
        <v>183</v>
      </c>
      <c r="D40" s="4" t="s">
        <v>48</v>
      </c>
      <c r="E40" s="6">
        <v>4000</v>
      </c>
      <c r="F40" s="7">
        <f t="shared" si="2"/>
        <v>18.181818181818183</v>
      </c>
      <c r="G40" s="16">
        <v>2.5</v>
      </c>
      <c r="H40" s="16">
        <v>2.5</v>
      </c>
      <c r="I40" s="16">
        <v>2.5</v>
      </c>
      <c r="J40" s="17">
        <v>20</v>
      </c>
    </row>
    <row r="41" spans="1:10" x14ac:dyDescent="0.25">
      <c r="A41" s="4" t="s">
        <v>45</v>
      </c>
      <c r="B41" s="4">
        <v>1</v>
      </c>
      <c r="C41" s="5" t="s">
        <v>183</v>
      </c>
      <c r="D41" s="4" t="s">
        <v>49</v>
      </c>
      <c r="E41" s="6">
        <v>4000</v>
      </c>
      <c r="F41" s="7">
        <f t="shared" si="2"/>
        <v>18.181818181818183</v>
      </c>
      <c r="G41" s="16">
        <v>2.5</v>
      </c>
      <c r="H41" s="16">
        <v>2.5</v>
      </c>
      <c r="I41" s="16">
        <v>2.5</v>
      </c>
      <c r="J41" s="17">
        <v>20</v>
      </c>
    </row>
    <row r="42" spans="1:10" x14ac:dyDescent="0.25">
      <c r="A42" s="4" t="s">
        <v>50</v>
      </c>
      <c r="B42" s="4">
        <v>1</v>
      </c>
      <c r="C42" s="5" t="s">
        <v>183</v>
      </c>
      <c r="D42" s="4" t="s">
        <v>51</v>
      </c>
      <c r="E42" s="6">
        <v>70000</v>
      </c>
      <c r="F42" s="7">
        <f t="shared" si="2"/>
        <v>318.18181818181819</v>
      </c>
      <c r="G42" s="16">
        <v>2.5</v>
      </c>
      <c r="H42" s="16">
        <v>2.5</v>
      </c>
      <c r="I42" s="16">
        <v>2.5</v>
      </c>
      <c r="J42" s="17">
        <v>320</v>
      </c>
    </row>
    <row r="43" spans="1:10" x14ac:dyDescent="0.25">
      <c r="A43" s="4" t="s">
        <v>52</v>
      </c>
      <c r="B43" s="4">
        <v>5</v>
      </c>
      <c r="C43" s="5" t="s">
        <v>183</v>
      </c>
      <c r="D43" s="4" t="s">
        <v>53</v>
      </c>
      <c r="E43" s="6">
        <v>1080</v>
      </c>
      <c r="F43" s="7">
        <f t="shared" si="2"/>
        <v>4.9090909090909092</v>
      </c>
      <c r="G43" s="16">
        <v>2.5</v>
      </c>
      <c r="H43" s="16">
        <v>2.5</v>
      </c>
      <c r="I43" s="16">
        <v>2.5</v>
      </c>
      <c r="J43" s="17">
        <v>6</v>
      </c>
    </row>
    <row r="44" spans="1:10" x14ac:dyDescent="0.25">
      <c r="A44" s="4" t="s">
        <v>52</v>
      </c>
      <c r="B44" s="4">
        <v>2</v>
      </c>
      <c r="C44" s="5" t="s">
        <v>183</v>
      </c>
      <c r="D44" s="4" t="s">
        <v>54</v>
      </c>
      <c r="E44" s="6">
        <v>720</v>
      </c>
      <c r="F44" s="7">
        <f t="shared" si="2"/>
        <v>3.2727272727272729</v>
      </c>
      <c r="G44" s="16">
        <v>2.5</v>
      </c>
      <c r="H44" s="16">
        <v>2.5</v>
      </c>
      <c r="I44" s="16">
        <v>2.5</v>
      </c>
      <c r="J44" s="17">
        <v>6</v>
      </c>
    </row>
    <row r="45" spans="1:10" x14ac:dyDescent="0.25">
      <c r="A45" s="4" t="s">
        <v>55</v>
      </c>
      <c r="B45" s="4">
        <v>3</v>
      </c>
      <c r="C45" s="5" t="s">
        <v>183</v>
      </c>
      <c r="D45" s="4" t="s">
        <v>56</v>
      </c>
      <c r="E45" s="4">
        <v>2400</v>
      </c>
      <c r="F45" s="7">
        <f t="shared" si="2"/>
        <v>10.909090909090908</v>
      </c>
      <c r="G45" s="16">
        <v>2.5</v>
      </c>
      <c r="H45" s="16">
        <v>2.5</v>
      </c>
      <c r="I45" s="16">
        <v>2.5</v>
      </c>
      <c r="J45" s="17">
        <v>12</v>
      </c>
    </row>
    <row r="46" spans="1:10" x14ac:dyDescent="0.25">
      <c r="A46" s="4" t="s">
        <v>55</v>
      </c>
      <c r="B46" s="4">
        <v>2</v>
      </c>
      <c r="C46" s="5" t="s">
        <v>183</v>
      </c>
      <c r="D46" s="4" t="s">
        <v>57</v>
      </c>
      <c r="E46" s="4">
        <v>1600</v>
      </c>
      <c r="F46" s="7">
        <f t="shared" si="2"/>
        <v>7.2727272727272725</v>
      </c>
      <c r="G46" s="16">
        <v>2.5</v>
      </c>
      <c r="H46" s="16">
        <v>2.5</v>
      </c>
      <c r="I46" s="16">
        <v>2.5</v>
      </c>
      <c r="J46" s="17">
        <v>10</v>
      </c>
    </row>
    <row r="47" spans="1:10" x14ac:dyDescent="0.25">
      <c r="A47" s="4" t="s">
        <v>58</v>
      </c>
      <c r="B47" s="4">
        <v>5</v>
      </c>
      <c r="C47" s="5" t="s">
        <v>183</v>
      </c>
      <c r="D47" s="4" t="s">
        <v>59</v>
      </c>
      <c r="E47" s="6">
        <v>1000</v>
      </c>
      <c r="F47" s="7">
        <f t="shared" si="2"/>
        <v>4.5454545454545459</v>
      </c>
      <c r="G47" s="16">
        <v>2.5</v>
      </c>
      <c r="H47" s="16">
        <v>2.5</v>
      </c>
      <c r="I47" s="16">
        <v>2.5</v>
      </c>
      <c r="J47" s="17">
        <v>6</v>
      </c>
    </row>
    <row r="48" spans="1:10" x14ac:dyDescent="0.25">
      <c r="A48" s="4" t="s">
        <v>60</v>
      </c>
      <c r="B48" s="4">
        <v>1</v>
      </c>
      <c r="C48" s="5" t="s">
        <v>183</v>
      </c>
      <c r="D48" s="4" t="s">
        <v>61</v>
      </c>
      <c r="E48" s="6">
        <v>1000</v>
      </c>
      <c r="F48" s="7">
        <f t="shared" si="2"/>
        <v>4.5454545454545459</v>
      </c>
      <c r="G48" s="16">
        <v>2.5</v>
      </c>
      <c r="H48" s="16">
        <v>2.5</v>
      </c>
      <c r="I48" s="16">
        <v>2.5</v>
      </c>
      <c r="J48" s="17">
        <v>6</v>
      </c>
    </row>
    <row r="49" spans="1:10" x14ac:dyDescent="0.25">
      <c r="A49" s="4" t="s">
        <v>60</v>
      </c>
      <c r="B49" s="4">
        <v>1</v>
      </c>
      <c r="C49" s="5" t="s">
        <v>183</v>
      </c>
      <c r="D49" s="4" t="s">
        <v>62</v>
      </c>
      <c r="E49" s="6">
        <v>1000</v>
      </c>
      <c r="F49" s="7">
        <f t="shared" si="2"/>
        <v>4.5454545454545459</v>
      </c>
      <c r="G49" s="16">
        <v>2.5</v>
      </c>
      <c r="H49" s="16">
        <v>2.5</v>
      </c>
      <c r="I49" s="16">
        <v>2.5</v>
      </c>
      <c r="J49" s="17">
        <v>6</v>
      </c>
    </row>
    <row r="50" spans="1:10" x14ac:dyDescent="0.25">
      <c r="A50" s="4" t="s">
        <v>60</v>
      </c>
      <c r="B50" s="4">
        <v>1</v>
      </c>
      <c r="C50" s="5" t="s">
        <v>183</v>
      </c>
      <c r="D50" s="4" t="s">
        <v>63</v>
      </c>
      <c r="E50" s="6">
        <v>1000</v>
      </c>
      <c r="F50" s="7">
        <f t="shared" si="2"/>
        <v>4.5454545454545459</v>
      </c>
      <c r="G50" s="16">
        <v>2.5</v>
      </c>
      <c r="H50" s="16">
        <v>2.5</v>
      </c>
      <c r="I50" s="16">
        <v>2.5</v>
      </c>
      <c r="J50" s="17">
        <v>6</v>
      </c>
    </row>
    <row r="51" spans="1:10" x14ac:dyDescent="0.25">
      <c r="A51" s="4" t="s">
        <v>64</v>
      </c>
      <c r="B51" s="4">
        <v>3</v>
      </c>
      <c r="C51" s="5" t="s">
        <v>183</v>
      </c>
      <c r="D51" s="4" t="s">
        <v>65</v>
      </c>
      <c r="E51" s="6">
        <v>1380</v>
      </c>
      <c r="F51" s="7">
        <f t="shared" si="2"/>
        <v>6.2727272727272725</v>
      </c>
      <c r="G51" s="16">
        <v>2.5</v>
      </c>
      <c r="H51" s="16">
        <v>2.5</v>
      </c>
      <c r="I51" s="16">
        <v>2.5</v>
      </c>
      <c r="J51" s="17">
        <v>10</v>
      </c>
    </row>
    <row r="52" spans="1:10" x14ac:dyDescent="0.25">
      <c r="A52" s="4" t="s">
        <v>64</v>
      </c>
      <c r="B52" s="4">
        <v>2</v>
      </c>
      <c r="C52" s="5" t="s">
        <v>183</v>
      </c>
      <c r="D52" s="4" t="s">
        <v>66</v>
      </c>
      <c r="E52" s="6">
        <v>920</v>
      </c>
      <c r="F52" s="7">
        <f t="shared" si="2"/>
        <v>4.1818181818181817</v>
      </c>
      <c r="G52" s="16">
        <v>2.5</v>
      </c>
      <c r="H52" s="16">
        <v>2.5</v>
      </c>
      <c r="I52" s="16">
        <v>2.5</v>
      </c>
      <c r="J52" s="17">
        <v>6</v>
      </c>
    </row>
    <row r="53" spans="1:10" x14ac:dyDescent="0.25">
      <c r="A53" s="4" t="s">
        <v>67</v>
      </c>
      <c r="B53" s="4">
        <v>4</v>
      </c>
      <c r="C53" s="5" t="s">
        <v>183</v>
      </c>
      <c r="D53" s="4" t="s">
        <v>68</v>
      </c>
      <c r="E53" s="4">
        <v>740</v>
      </c>
      <c r="F53" s="7">
        <f t="shared" si="2"/>
        <v>3.3636363636363638</v>
      </c>
      <c r="G53" s="16">
        <v>2.5</v>
      </c>
      <c r="H53" s="16">
        <v>2.5</v>
      </c>
      <c r="I53" s="16">
        <v>2.5</v>
      </c>
      <c r="J53" s="17">
        <v>6</v>
      </c>
    </row>
    <row r="54" spans="1:10" x14ac:dyDescent="0.25">
      <c r="A54" s="4" t="s">
        <v>69</v>
      </c>
      <c r="B54" s="4">
        <v>1</v>
      </c>
      <c r="C54" s="5" t="s">
        <v>183</v>
      </c>
      <c r="D54" s="4" t="s">
        <v>70</v>
      </c>
      <c r="E54" s="6">
        <v>2184</v>
      </c>
      <c r="F54" s="7">
        <f t="shared" si="2"/>
        <v>9.9272727272727277</v>
      </c>
      <c r="G54" s="16">
        <v>2.5</v>
      </c>
      <c r="H54" s="16">
        <v>2.5</v>
      </c>
      <c r="I54" s="16">
        <v>2.5</v>
      </c>
      <c r="J54" s="17">
        <v>12</v>
      </c>
    </row>
    <row r="55" spans="1:10" x14ac:dyDescent="0.25">
      <c r="A55" s="4" t="s">
        <v>69</v>
      </c>
      <c r="B55" s="4">
        <v>1</v>
      </c>
      <c r="C55" s="5" t="s">
        <v>183</v>
      </c>
      <c r="D55" s="4" t="s">
        <v>71</v>
      </c>
      <c r="E55" s="6">
        <v>2184</v>
      </c>
      <c r="F55" s="7">
        <f t="shared" si="2"/>
        <v>9.9272727272727277</v>
      </c>
      <c r="G55" s="16">
        <v>2.5</v>
      </c>
      <c r="H55" s="16">
        <v>2.5</v>
      </c>
      <c r="I55" s="16">
        <v>2.5</v>
      </c>
      <c r="J55" s="17">
        <v>12</v>
      </c>
    </row>
    <row r="56" spans="1:10" x14ac:dyDescent="0.25">
      <c r="A56" s="4" t="s">
        <v>72</v>
      </c>
      <c r="B56" s="4">
        <v>1</v>
      </c>
      <c r="C56" s="5" t="s">
        <v>183</v>
      </c>
      <c r="D56" s="4" t="s">
        <v>73</v>
      </c>
      <c r="E56" s="6">
        <v>2200</v>
      </c>
      <c r="F56" s="7">
        <f t="shared" si="2"/>
        <v>10</v>
      </c>
      <c r="G56" s="16">
        <v>2.5</v>
      </c>
      <c r="H56" s="16">
        <v>2.5</v>
      </c>
      <c r="I56" s="16">
        <v>2.5</v>
      </c>
      <c r="J56" s="17">
        <v>12</v>
      </c>
    </row>
    <row r="57" spans="1:10" x14ac:dyDescent="0.25">
      <c r="A57" s="4" t="s">
        <v>72</v>
      </c>
      <c r="B57" s="4">
        <v>1</v>
      </c>
      <c r="C57" s="5" t="s">
        <v>183</v>
      </c>
      <c r="D57" s="4" t="s">
        <v>74</v>
      </c>
      <c r="E57" s="6">
        <v>2200</v>
      </c>
      <c r="F57" s="7">
        <f t="shared" si="2"/>
        <v>10</v>
      </c>
      <c r="G57" s="16">
        <v>2.5</v>
      </c>
      <c r="H57" s="16">
        <v>2.5</v>
      </c>
      <c r="I57" s="16">
        <v>2.5</v>
      </c>
      <c r="J57" s="17">
        <v>12</v>
      </c>
    </row>
    <row r="58" spans="1:10" x14ac:dyDescent="0.25">
      <c r="A58" s="4" t="s">
        <v>72</v>
      </c>
      <c r="B58" s="4">
        <v>1</v>
      </c>
      <c r="C58" s="5" t="s">
        <v>183</v>
      </c>
      <c r="D58" s="4" t="s">
        <v>75</v>
      </c>
      <c r="E58" s="6">
        <v>2200</v>
      </c>
      <c r="F58" s="7">
        <f t="shared" si="2"/>
        <v>10</v>
      </c>
      <c r="G58" s="16">
        <v>2.5</v>
      </c>
      <c r="H58" s="16">
        <v>2.5</v>
      </c>
      <c r="I58" s="16">
        <v>2.5</v>
      </c>
      <c r="J58" s="17">
        <v>12</v>
      </c>
    </row>
    <row r="59" spans="1:10" x14ac:dyDescent="0.25">
      <c r="A59" s="4" t="s">
        <v>72</v>
      </c>
      <c r="B59" s="4">
        <v>1</v>
      </c>
      <c r="C59" s="5" t="s">
        <v>183</v>
      </c>
      <c r="D59" s="4" t="s">
        <v>76</v>
      </c>
      <c r="E59" s="6">
        <v>2200</v>
      </c>
      <c r="F59" s="7">
        <f t="shared" si="2"/>
        <v>10</v>
      </c>
      <c r="G59" s="16">
        <v>2.5</v>
      </c>
      <c r="H59" s="16">
        <v>2.5</v>
      </c>
      <c r="I59" s="16">
        <v>2.5</v>
      </c>
      <c r="J59" s="17">
        <v>12</v>
      </c>
    </row>
    <row r="60" spans="1:10" x14ac:dyDescent="0.25">
      <c r="A60" s="4" t="s">
        <v>72</v>
      </c>
      <c r="B60" s="4">
        <v>1</v>
      </c>
      <c r="C60" s="5" t="s">
        <v>183</v>
      </c>
      <c r="D60" s="4" t="s">
        <v>77</v>
      </c>
      <c r="E60" s="6">
        <v>2200</v>
      </c>
      <c r="F60" s="7">
        <f t="shared" si="2"/>
        <v>10</v>
      </c>
      <c r="G60" s="16">
        <v>2.5</v>
      </c>
      <c r="H60" s="16">
        <v>2.5</v>
      </c>
      <c r="I60" s="16">
        <v>2.5</v>
      </c>
      <c r="J60" s="17">
        <v>12</v>
      </c>
    </row>
    <row r="61" spans="1:10" x14ac:dyDescent="0.25">
      <c r="A61" s="4" t="s">
        <v>72</v>
      </c>
      <c r="B61" s="4">
        <v>1</v>
      </c>
      <c r="C61" s="5" t="s">
        <v>183</v>
      </c>
      <c r="D61" s="4" t="s">
        <v>78</v>
      </c>
      <c r="E61" s="6">
        <v>2200</v>
      </c>
      <c r="F61" s="7">
        <f t="shared" si="2"/>
        <v>10</v>
      </c>
      <c r="G61" s="16">
        <v>2.5</v>
      </c>
      <c r="H61" s="16">
        <v>2.5</v>
      </c>
      <c r="I61" s="16">
        <v>2.5</v>
      </c>
      <c r="J61" s="17">
        <v>12</v>
      </c>
    </row>
    <row r="62" spans="1:10" x14ac:dyDescent="0.25">
      <c r="A62" s="4" t="s">
        <v>72</v>
      </c>
      <c r="B62" s="4">
        <v>1</v>
      </c>
      <c r="C62" s="5" t="s">
        <v>183</v>
      </c>
      <c r="D62" s="4" t="s">
        <v>79</v>
      </c>
      <c r="E62" s="6">
        <v>2200</v>
      </c>
      <c r="F62" s="7">
        <f t="shared" si="2"/>
        <v>10</v>
      </c>
      <c r="G62" s="16">
        <v>2.5</v>
      </c>
      <c r="H62" s="16">
        <v>2.5</v>
      </c>
      <c r="I62" s="16">
        <v>2.5</v>
      </c>
      <c r="J62" s="17">
        <v>12</v>
      </c>
    </row>
    <row r="63" spans="1:10" x14ac:dyDescent="0.25">
      <c r="A63" s="4"/>
      <c r="B63" s="4"/>
      <c r="C63" s="5"/>
      <c r="D63" s="4"/>
      <c r="E63" s="6"/>
      <c r="F63" s="7"/>
      <c r="G63" s="16"/>
      <c r="H63" s="16"/>
      <c r="I63" s="16"/>
      <c r="J63" s="17"/>
    </row>
    <row r="64" spans="1:10" x14ac:dyDescent="0.25">
      <c r="A64" s="4"/>
      <c r="B64" s="4"/>
      <c r="C64" s="5"/>
      <c r="D64" s="4"/>
      <c r="E64" s="6"/>
      <c r="F64" s="7"/>
      <c r="G64" s="16"/>
      <c r="H64" s="16"/>
      <c r="I64" s="16"/>
      <c r="J64" s="17"/>
    </row>
    <row r="65" spans="1:10" x14ac:dyDescent="0.25">
      <c r="A65" s="1" t="s">
        <v>80</v>
      </c>
      <c r="B65" s="1" t="s">
        <v>1</v>
      </c>
      <c r="C65" s="2" t="s">
        <v>178</v>
      </c>
      <c r="D65" s="2" t="s">
        <v>2</v>
      </c>
      <c r="E65" s="2" t="s">
        <v>3</v>
      </c>
      <c r="F65" s="3" t="s">
        <v>4</v>
      </c>
      <c r="G65" s="14" t="s">
        <v>179</v>
      </c>
      <c r="H65" s="1" t="s">
        <v>180</v>
      </c>
      <c r="I65" s="15" t="s">
        <v>181</v>
      </c>
      <c r="J65" s="1" t="s">
        <v>182</v>
      </c>
    </row>
    <row r="66" spans="1:10" x14ac:dyDescent="0.25">
      <c r="A66" s="4" t="s">
        <v>81</v>
      </c>
      <c r="B66" s="4">
        <v>6</v>
      </c>
      <c r="C66" s="5" t="s">
        <v>183</v>
      </c>
      <c r="D66" s="4" t="s">
        <v>82</v>
      </c>
      <c r="E66" s="4">
        <v>900</v>
      </c>
      <c r="F66" s="7">
        <f t="shared" ref="F66:F90" si="3">E66/220</f>
        <v>4.0909090909090908</v>
      </c>
      <c r="G66" s="16">
        <v>2.5</v>
      </c>
      <c r="H66" s="16">
        <v>2.5</v>
      </c>
      <c r="I66" s="16">
        <v>2.5</v>
      </c>
      <c r="J66" s="17">
        <v>6</v>
      </c>
    </row>
    <row r="67" spans="1:10" x14ac:dyDescent="0.25">
      <c r="A67" s="4" t="s">
        <v>83</v>
      </c>
      <c r="B67" s="4">
        <v>1</v>
      </c>
      <c r="C67" s="5" t="s">
        <v>183</v>
      </c>
      <c r="D67" s="4" t="s">
        <v>84</v>
      </c>
      <c r="E67" s="6">
        <v>10725</v>
      </c>
      <c r="F67" s="7">
        <f t="shared" si="3"/>
        <v>48.75</v>
      </c>
      <c r="G67" s="16">
        <v>2.5</v>
      </c>
      <c r="H67" s="16">
        <v>2.5</v>
      </c>
      <c r="I67" s="16">
        <v>2.5</v>
      </c>
      <c r="J67" s="17">
        <v>50</v>
      </c>
    </row>
    <row r="68" spans="1:10" x14ac:dyDescent="0.25">
      <c r="A68" s="4" t="s">
        <v>83</v>
      </c>
      <c r="B68" s="4">
        <v>1</v>
      </c>
      <c r="C68" s="5" t="s">
        <v>183</v>
      </c>
      <c r="D68" s="4" t="s">
        <v>85</v>
      </c>
      <c r="E68" s="6">
        <v>10725</v>
      </c>
      <c r="F68" s="7">
        <f t="shared" si="3"/>
        <v>48.75</v>
      </c>
      <c r="G68" s="16">
        <v>2.5</v>
      </c>
      <c r="H68" s="16">
        <v>2.5</v>
      </c>
      <c r="I68" s="16">
        <v>2.5</v>
      </c>
      <c r="J68" s="17">
        <v>50</v>
      </c>
    </row>
    <row r="69" spans="1:10" x14ac:dyDescent="0.25">
      <c r="A69" s="4" t="s">
        <v>83</v>
      </c>
      <c r="B69" s="4">
        <v>1</v>
      </c>
      <c r="C69" s="5" t="s">
        <v>183</v>
      </c>
      <c r="D69" s="4" t="s">
        <v>86</v>
      </c>
      <c r="E69" s="6">
        <v>10725</v>
      </c>
      <c r="F69" s="7">
        <f t="shared" si="3"/>
        <v>48.75</v>
      </c>
      <c r="G69" s="16">
        <v>2.5</v>
      </c>
      <c r="H69" s="16">
        <v>2.5</v>
      </c>
      <c r="I69" s="16">
        <v>2.5</v>
      </c>
      <c r="J69" s="17">
        <v>50</v>
      </c>
    </row>
    <row r="70" spans="1:10" x14ac:dyDescent="0.25">
      <c r="A70" s="4" t="s">
        <v>83</v>
      </c>
      <c r="B70" s="4">
        <v>1</v>
      </c>
      <c r="C70" s="5" t="s">
        <v>183</v>
      </c>
      <c r="D70" s="4" t="s">
        <v>87</v>
      </c>
      <c r="E70" s="6">
        <v>10725</v>
      </c>
      <c r="F70" s="7">
        <f t="shared" si="3"/>
        <v>48.75</v>
      </c>
      <c r="G70" s="16">
        <v>2.5</v>
      </c>
      <c r="H70" s="16">
        <v>2.5</v>
      </c>
      <c r="I70" s="16">
        <v>2.5</v>
      </c>
      <c r="J70" s="17">
        <v>50</v>
      </c>
    </row>
    <row r="71" spans="1:10" x14ac:dyDescent="0.25">
      <c r="A71" s="4" t="s">
        <v>83</v>
      </c>
      <c r="B71" s="4">
        <v>1</v>
      </c>
      <c r="C71" s="5" t="s">
        <v>183</v>
      </c>
      <c r="D71" s="4" t="s">
        <v>88</v>
      </c>
      <c r="E71" s="6">
        <v>10725</v>
      </c>
      <c r="F71" s="7">
        <f t="shared" si="3"/>
        <v>48.75</v>
      </c>
      <c r="G71" s="16">
        <v>2.5</v>
      </c>
      <c r="H71" s="16">
        <v>2.5</v>
      </c>
      <c r="I71" s="16">
        <v>2.5</v>
      </c>
      <c r="J71" s="17">
        <v>50</v>
      </c>
    </row>
    <row r="72" spans="1:10" x14ac:dyDescent="0.25">
      <c r="A72" s="4" t="s">
        <v>83</v>
      </c>
      <c r="B72" s="4">
        <v>1</v>
      </c>
      <c r="C72" s="5" t="s">
        <v>183</v>
      </c>
      <c r="D72" s="4" t="s">
        <v>89</v>
      </c>
      <c r="E72" s="6">
        <v>10725</v>
      </c>
      <c r="F72" s="7">
        <f t="shared" si="3"/>
        <v>48.75</v>
      </c>
      <c r="G72" s="16">
        <v>2.5</v>
      </c>
      <c r="H72" s="16">
        <v>2.5</v>
      </c>
      <c r="I72" s="16">
        <v>2.5</v>
      </c>
      <c r="J72" s="17">
        <v>50</v>
      </c>
    </row>
    <row r="73" spans="1:10" x14ac:dyDescent="0.25">
      <c r="A73" s="4" t="s">
        <v>90</v>
      </c>
      <c r="B73" s="4">
        <v>1</v>
      </c>
      <c r="C73" s="5" t="s">
        <v>183</v>
      </c>
      <c r="D73" s="4" t="s">
        <v>91</v>
      </c>
      <c r="E73" s="6">
        <v>1000</v>
      </c>
      <c r="F73" s="7">
        <f t="shared" si="3"/>
        <v>4.5454545454545459</v>
      </c>
      <c r="G73" s="16">
        <v>2.5</v>
      </c>
      <c r="H73" s="16">
        <v>2.5</v>
      </c>
      <c r="I73" s="16">
        <v>2.5</v>
      </c>
      <c r="J73" s="17">
        <v>6</v>
      </c>
    </row>
    <row r="74" spans="1:10" x14ac:dyDescent="0.25">
      <c r="A74" s="4" t="s">
        <v>90</v>
      </c>
      <c r="B74" s="4">
        <v>1</v>
      </c>
      <c r="C74" s="5" t="s">
        <v>183</v>
      </c>
      <c r="D74" s="4" t="s">
        <v>92</v>
      </c>
      <c r="E74" s="6">
        <v>1000</v>
      </c>
      <c r="F74" s="7">
        <f t="shared" si="3"/>
        <v>4.5454545454545459</v>
      </c>
      <c r="G74" s="16">
        <v>2.5</v>
      </c>
      <c r="H74" s="16">
        <v>2.5</v>
      </c>
      <c r="I74" s="16">
        <v>2.5</v>
      </c>
      <c r="J74" s="17">
        <v>6</v>
      </c>
    </row>
    <row r="75" spans="1:10" x14ac:dyDescent="0.25">
      <c r="A75" s="4" t="s">
        <v>90</v>
      </c>
      <c r="B75" s="4">
        <v>1</v>
      </c>
      <c r="C75" s="5" t="s">
        <v>183</v>
      </c>
      <c r="D75" s="4" t="s">
        <v>93</v>
      </c>
      <c r="E75" s="6">
        <v>1000</v>
      </c>
      <c r="F75" s="7">
        <f t="shared" si="3"/>
        <v>4.5454545454545459</v>
      </c>
      <c r="G75" s="16">
        <v>2.5</v>
      </c>
      <c r="H75" s="16">
        <v>2.5</v>
      </c>
      <c r="I75" s="16">
        <v>2.5</v>
      </c>
      <c r="J75" s="17">
        <v>6</v>
      </c>
    </row>
    <row r="76" spans="1:10" x14ac:dyDescent="0.25">
      <c r="A76" s="4" t="s">
        <v>90</v>
      </c>
      <c r="B76" s="4">
        <v>1</v>
      </c>
      <c r="C76" s="5" t="s">
        <v>183</v>
      </c>
      <c r="D76" s="4" t="s">
        <v>94</v>
      </c>
      <c r="E76" s="6">
        <v>1000</v>
      </c>
      <c r="F76" s="7">
        <f t="shared" si="3"/>
        <v>4.5454545454545459</v>
      </c>
      <c r="G76" s="16">
        <v>2.5</v>
      </c>
      <c r="H76" s="16">
        <v>2.5</v>
      </c>
      <c r="I76" s="16">
        <v>2.5</v>
      </c>
      <c r="J76" s="17">
        <v>6</v>
      </c>
    </row>
    <row r="77" spans="1:10" x14ac:dyDescent="0.25">
      <c r="A77" s="4" t="s">
        <v>90</v>
      </c>
      <c r="B77" s="4">
        <v>1</v>
      </c>
      <c r="C77" s="5" t="s">
        <v>183</v>
      </c>
      <c r="D77" s="4" t="s">
        <v>95</v>
      </c>
      <c r="E77" s="6">
        <v>1000</v>
      </c>
      <c r="F77" s="7">
        <f t="shared" si="3"/>
        <v>4.5454545454545459</v>
      </c>
      <c r="G77" s="16">
        <v>2.5</v>
      </c>
      <c r="H77" s="16">
        <v>2.5</v>
      </c>
      <c r="I77" s="16">
        <v>2.5</v>
      </c>
      <c r="J77" s="17">
        <v>6</v>
      </c>
    </row>
    <row r="78" spans="1:10" x14ac:dyDescent="0.25">
      <c r="A78" s="4" t="s">
        <v>90</v>
      </c>
      <c r="B78" s="4">
        <v>1</v>
      </c>
      <c r="C78" s="5" t="s">
        <v>183</v>
      </c>
      <c r="D78" s="4" t="s">
        <v>96</v>
      </c>
      <c r="E78" s="6">
        <v>1000</v>
      </c>
      <c r="F78" s="7">
        <f t="shared" si="3"/>
        <v>4.5454545454545459</v>
      </c>
      <c r="G78" s="16">
        <v>2.5</v>
      </c>
      <c r="H78" s="16">
        <v>2.5</v>
      </c>
      <c r="I78" s="16">
        <v>2.5</v>
      </c>
      <c r="J78" s="17">
        <v>6</v>
      </c>
    </row>
    <row r="79" spans="1:10" x14ac:dyDescent="0.25">
      <c r="A79" s="4" t="s">
        <v>69</v>
      </c>
      <c r="B79" s="4">
        <v>1</v>
      </c>
      <c r="C79" s="5" t="s">
        <v>183</v>
      </c>
      <c r="D79" s="4" t="s">
        <v>97</v>
      </c>
      <c r="E79" s="6">
        <v>2184</v>
      </c>
      <c r="F79" s="7">
        <f t="shared" si="3"/>
        <v>9.9272727272727277</v>
      </c>
      <c r="G79" s="16">
        <v>2.5</v>
      </c>
      <c r="H79" s="16">
        <v>2.5</v>
      </c>
      <c r="I79" s="16">
        <v>2.5</v>
      </c>
      <c r="J79" s="17">
        <v>12</v>
      </c>
    </row>
    <row r="80" spans="1:10" x14ac:dyDescent="0.25">
      <c r="A80" s="4" t="s">
        <v>69</v>
      </c>
      <c r="B80" s="4">
        <v>1</v>
      </c>
      <c r="C80" s="5" t="s">
        <v>183</v>
      </c>
      <c r="D80" s="4" t="s">
        <v>98</v>
      </c>
      <c r="E80" s="6">
        <v>2184</v>
      </c>
      <c r="F80" s="7">
        <f t="shared" si="3"/>
        <v>9.9272727272727277</v>
      </c>
      <c r="G80" s="16">
        <v>2.5</v>
      </c>
      <c r="H80" s="16">
        <v>2.5</v>
      </c>
      <c r="I80" s="16">
        <v>2.5</v>
      </c>
      <c r="J80" s="17">
        <v>12</v>
      </c>
    </row>
    <row r="81" spans="1:10" x14ac:dyDescent="0.25">
      <c r="A81" s="4" t="s">
        <v>69</v>
      </c>
      <c r="B81" s="4">
        <v>1</v>
      </c>
      <c r="C81" s="5" t="s">
        <v>183</v>
      </c>
      <c r="D81" s="4" t="s">
        <v>99</v>
      </c>
      <c r="E81" s="6">
        <v>2184</v>
      </c>
      <c r="F81" s="7">
        <f t="shared" si="3"/>
        <v>9.9272727272727277</v>
      </c>
      <c r="G81" s="16">
        <v>2.5</v>
      </c>
      <c r="H81" s="16">
        <v>2.5</v>
      </c>
      <c r="I81" s="16">
        <v>2.5</v>
      </c>
      <c r="J81" s="17">
        <v>12</v>
      </c>
    </row>
    <row r="82" spans="1:10" x14ac:dyDescent="0.25">
      <c r="A82" s="4" t="s">
        <v>69</v>
      </c>
      <c r="B82" s="4">
        <v>1</v>
      </c>
      <c r="C82" s="5" t="s">
        <v>183</v>
      </c>
      <c r="D82" s="4" t="s">
        <v>100</v>
      </c>
      <c r="E82" s="6">
        <v>2184</v>
      </c>
      <c r="F82" s="7">
        <f t="shared" si="3"/>
        <v>9.9272727272727277</v>
      </c>
      <c r="G82" s="16">
        <v>2.5</v>
      </c>
      <c r="H82" s="16">
        <v>2.5</v>
      </c>
      <c r="I82" s="16">
        <v>2.5</v>
      </c>
      <c r="J82" s="17">
        <v>12</v>
      </c>
    </row>
    <row r="83" spans="1:10" x14ac:dyDescent="0.25">
      <c r="A83" s="4" t="s">
        <v>72</v>
      </c>
      <c r="B83" s="4">
        <v>1</v>
      </c>
      <c r="C83" s="5" t="s">
        <v>183</v>
      </c>
      <c r="D83" s="4" t="s">
        <v>101</v>
      </c>
      <c r="E83" s="6">
        <v>2200</v>
      </c>
      <c r="F83" s="7">
        <f t="shared" si="3"/>
        <v>10</v>
      </c>
      <c r="G83" s="16">
        <v>2.5</v>
      </c>
      <c r="H83" s="16">
        <v>2.5</v>
      </c>
      <c r="I83" s="16">
        <v>2.5</v>
      </c>
      <c r="J83" s="17">
        <v>12</v>
      </c>
    </row>
    <row r="84" spans="1:10" x14ac:dyDescent="0.25">
      <c r="A84" s="4" t="s">
        <v>72</v>
      </c>
      <c r="B84" s="4">
        <v>1</v>
      </c>
      <c r="C84" s="5" t="s">
        <v>183</v>
      </c>
      <c r="D84" s="4" t="s">
        <v>102</v>
      </c>
      <c r="E84" s="6">
        <v>2200</v>
      </c>
      <c r="F84" s="7">
        <f t="shared" si="3"/>
        <v>10</v>
      </c>
      <c r="G84" s="16">
        <v>2.5</v>
      </c>
      <c r="H84" s="16">
        <v>2.5</v>
      </c>
      <c r="I84" s="16">
        <v>2.5</v>
      </c>
      <c r="J84" s="17">
        <v>12</v>
      </c>
    </row>
    <row r="85" spans="1:10" x14ac:dyDescent="0.25">
      <c r="A85" s="4" t="s">
        <v>72</v>
      </c>
      <c r="B85" s="4">
        <v>1</v>
      </c>
      <c r="C85" s="5" t="s">
        <v>183</v>
      </c>
      <c r="D85" s="4" t="s">
        <v>103</v>
      </c>
      <c r="E85" s="6">
        <v>2200</v>
      </c>
      <c r="F85" s="7">
        <f t="shared" si="3"/>
        <v>10</v>
      </c>
      <c r="G85" s="16">
        <v>2.5</v>
      </c>
      <c r="H85" s="16">
        <v>2.5</v>
      </c>
      <c r="I85" s="16">
        <v>2.5</v>
      </c>
      <c r="J85" s="17">
        <v>12</v>
      </c>
    </row>
    <row r="86" spans="1:10" x14ac:dyDescent="0.25">
      <c r="A86" s="4" t="s">
        <v>72</v>
      </c>
      <c r="B86" s="4">
        <v>1</v>
      </c>
      <c r="C86" s="5" t="s">
        <v>183</v>
      </c>
      <c r="D86" s="4" t="s">
        <v>104</v>
      </c>
      <c r="E86" s="6">
        <v>2200</v>
      </c>
      <c r="F86" s="7">
        <f t="shared" si="3"/>
        <v>10</v>
      </c>
      <c r="G86" s="16">
        <v>2.5</v>
      </c>
      <c r="H86" s="16">
        <v>2.5</v>
      </c>
      <c r="I86" s="16">
        <v>2.5</v>
      </c>
      <c r="J86" s="17">
        <v>12</v>
      </c>
    </row>
    <row r="87" spans="1:10" x14ac:dyDescent="0.25">
      <c r="A87" s="4" t="s">
        <v>72</v>
      </c>
      <c r="B87" s="4">
        <v>1</v>
      </c>
      <c r="C87" s="5" t="s">
        <v>183</v>
      </c>
      <c r="D87" s="4" t="s">
        <v>105</v>
      </c>
      <c r="E87" s="6">
        <v>2200</v>
      </c>
      <c r="F87" s="7">
        <f t="shared" si="3"/>
        <v>10</v>
      </c>
      <c r="G87" s="16">
        <v>2.5</v>
      </c>
      <c r="H87" s="16">
        <v>2.5</v>
      </c>
      <c r="I87" s="16">
        <v>2.5</v>
      </c>
      <c r="J87" s="17">
        <v>12</v>
      </c>
    </row>
    <row r="88" spans="1:10" x14ac:dyDescent="0.25">
      <c r="A88" s="4" t="s">
        <v>72</v>
      </c>
      <c r="B88" s="4">
        <v>1</v>
      </c>
      <c r="C88" s="5" t="s">
        <v>183</v>
      </c>
      <c r="D88" s="4" t="s">
        <v>106</v>
      </c>
      <c r="E88" s="6">
        <v>2200</v>
      </c>
      <c r="F88" s="7">
        <f t="shared" si="3"/>
        <v>10</v>
      </c>
      <c r="G88" s="16">
        <v>2.5</v>
      </c>
      <c r="H88" s="16">
        <v>2.5</v>
      </c>
      <c r="I88" s="16">
        <v>2.5</v>
      </c>
      <c r="J88" s="17">
        <v>12</v>
      </c>
    </row>
    <row r="89" spans="1:10" x14ac:dyDescent="0.25">
      <c r="A89" s="4" t="s">
        <v>72</v>
      </c>
      <c r="B89" s="4">
        <v>1</v>
      </c>
      <c r="C89" s="5" t="s">
        <v>183</v>
      </c>
      <c r="D89" s="4" t="s">
        <v>107</v>
      </c>
      <c r="E89" s="6">
        <v>2200</v>
      </c>
      <c r="F89" s="7">
        <f t="shared" si="3"/>
        <v>10</v>
      </c>
      <c r="G89" s="16">
        <v>2.5</v>
      </c>
      <c r="H89" s="16">
        <v>2.5</v>
      </c>
      <c r="I89" s="16">
        <v>2.5</v>
      </c>
      <c r="J89" s="17">
        <v>12</v>
      </c>
    </row>
    <row r="90" spans="1:10" x14ac:dyDescent="0.25">
      <c r="A90" s="4" t="s">
        <v>72</v>
      </c>
      <c r="B90" s="4">
        <v>1</v>
      </c>
      <c r="C90" s="5" t="s">
        <v>183</v>
      </c>
      <c r="D90" s="4" t="s">
        <v>108</v>
      </c>
      <c r="E90" s="6">
        <v>2200</v>
      </c>
      <c r="F90" s="7">
        <f t="shared" si="3"/>
        <v>10</v>
      </c>
      <c r="G90" s="16">
        <v>2.5</v>
      </c>
      <c r="H90" s="16">
        <v>2.5</v>
      </c>
      <c r="I90" s="16">
        <v>2.5</v>
      </c>
      <c r="J90" s="17">
        <v>12</v>
      </c>
    </row>
    <row r="91" spans="1:10" x14ac:dyDescent="0.25">
      <c r="A91" s="4"/>
      <c r="B91" s="4"/>
      <c r="C91" s="5"/>
      <c r="D91" s="4"/>
      <c r="E91" s="6"/>
      <c r="F91" s="7"/>
      <c r="G91" s="16"/>
      <c r="H91" s="16"/>
      <c r="I91" s="16"/>
      <c r="J91" s="17"/>
    </row>
    <row r="92" spans="1:10" x14ac:dyDescent="0.25">
      <c r="A92" s="4"/>
      <c r="B92" s="4"/>
      <c r="C92" s="5"/>
      <c r="D92" s="4"/>
      <c r="E92" s="6"/>
      <c r="F92" s="7"/>
      <c r="G92" s="16"/>
      <c r="H92" s="16"/>
      <c r="I92" s="16"/>
      <c r="J92" s="17"/>
    </row>
    <row r="93" spans="1:10" x14ac:dyDescent="0.25">
      <c r="A93" s="1" t="s">
        <v>109</v>
      </c>
      <c r="B93" s="1" t="s">
        <v>1</v>
      </c>
      <c r="C93" s="2" t="s">
        <v>178</v>
      </c>
      <c r="D93" s="2" t="s">
        <v>2</v>
      </c>
      <c r="E93" s="2" t="s">
        <v>3</v>
      </c>
      <c r="F93" s="3" t="s">
        <v>4</v>
      </c>
      <c r="G93" s="14" t="s">
        <v>179</v>
      </c>
      <c r="H93" s="1" t="s">
        <v>180</v>
      </c>
      <c r="I93" s="15" t="s">
        <v>181</v>
      </c>
      <c r="J93" s="1" t="s">
        <v>182</v>
      </c>
    </row>
    <row r="94" spans="1:10" x14ac:dyDescent="0.25">
      <c r="A94" s="4" t="s">
        <v>110</v>
      </c>
      <c r="B94" s="4">
        <v>1</v>
      </c>
      <c r="C94" s="5" t="s">
        <v>183</v>
      </c>
      <c r="D94" s="4" t="s">
        <v>111</v>
      </c>
      <c r="E94" s="6">
        <v>4000</v>
      </c>
      <c r="F94" s="7">
        <f t="shared" ref="F94:F113" si="4">E94/220</f>
        <v>18.181818181818183</v>
      </c>
      <c r="G94" s="16">
        <v>2.5</v>
      </c>
      <c r="H94" s="16">
        <v>2.5</v>
      </c>
      <c r="I94" s="16">
        <v>2.5</v>
      </c>
      <c r="J94" s="17">
        <v>20</v>
      </c>
    </row>
    <row r="95" spans="1:10" x14ac:dyDescent="0.25">
      <c r="A95" s="4" t="s">
        <v>110</v>
      </c>
      <c r="B95" s="4">
        <v>1</v>
      </c>
      <c r="C95" s="5" t="s">
        <v>183</v>
      </c>
      <c r="D95" s="4" t="s">
        <v>112</v>
      </c>
      <c r="E95" s="6">
        <v>4000</v>
      </c>
      <c r="F95" s="7">
        <f t="shared" si="4"/>
        <v>18.181818181818183</v>
      </c>
      <c r="G95" s="16">
        <v>2.5</v>
      </c>
      <c r="H95" s="16">
        <v>2.5</v>
      </c>
      <c r="I95" s="16">
        <v>2.5</v>
      </c>
      <c r="J95" s="17">
        <v>20</v>
      </c>
    </row>
    <row r="96" spans="1:10" x14ac:dyDescent="0.25">
      <c r="A96" s="4" t="s">
        <v>110</v>
      </c>
      <c r="B96" s="4">
        <v>1</v>
      </c>
      <c r="C96" s="5" t="s">
        <v>183</v>
      </c>
      <c r="D96" s="4" t="s">
        <v>113</v>
      </c>
      <c r="E96" s="6">
        <v>4000</v>
      </c>
      <c r="F96" s="7">
        <f t="shared" si="4"/>
        <v>18.181818181818183</v>
      </c>
      <c r="G96" s="16">
        <v>2.5</v>
      </c>
      <c r="H96" s="16">
        <v>2.5</v>
      </c>
      <c r="I96" s="16">
        <v>2.5</v>
      </c>
      <c r="J96" s="17">
        <v>20</v>
      </c>
    </row>
    <row r="97" spans="1:10" x14ac:dyDescent="0.25">
      <c r="A97" s="4" t="s">
        <v>110</v>
      </c>
      <c r="B97" s="4">
        <v>1</v>
      </c>
      <c r="C97" s="5" t="s">
        <v>183</v>
      </c>
      <c r="D97" s="4" t="s">
        <v>114</v>
      </c>
      <c r="E97" s="6">
        <v>4000</v>
      </c>
      <c r="F97" s="7">
        <f t="shared" si="4"/>
        <v>18.181818181818183</v>
      </c>
      <c r="G97" s="16">
        <v>2.5</v>
      </c>
      <c r="H97" s="16">
        <v>2.5</v>
      </c>
      <c r="I97" s="16">
        <v>2.5</v>
      </c>
      <c r="J97" s="17">
        <v>20</v>
      </c>
    </row>
    <row r="98" spans="1:10" x14ac:dyDescent="0.25">
      <c r="A98" s="4" t="s">
        <v>110</v>
      </c>
      <c r="B98" s="4">
        <v>1</v>
      </c>
      <c r="C98" s="5" t="s">
        <v>183</v>
      </c>
      <c r="D98" s="4" t="s">
        <v>115</v>
      </c>
      <c r="E98" s="6">
        <v>4000</v>
      </c>
      <c r="F98" s="7">
        <f t="shared" si="4"/>
        <v>18.181818181818183</v>
      </c>
      <c r="G98" s="16">
        <v>2.5</v>
      </c>
      <c r="H98" s="16">
        <v>2.5</v>
      </c>
      <c r="I98" s="16">
        <v>2.5</v>
      </c>
      <c r="J98" s="17">
        <v>20</v>
      </c>
    </row>
    <row r="99" spans="1:10" x14ac:dyDescent="0.25">
      <c r="A99" s="4" t="s">
        <v>110</v>
      </c>
      <c r="B99" s="4">
        <v>1</v>
      </c>
      <c r="C99" s="5" t="s">
        <v>183</v>
      </c>
      <c r="D99" s="4" t="s">
        <v>116</v>
      </c>
      <c r="E99" s="6">
        <v>4000</v>
      </c>
      <c r="F99" s="7">
        <f t="shared" si="4"/>
        <v>18.181818181818183</v>
      </c>
      <c r="G99" s="16">
        <v>2.5</v>
      </c>
      <c r="H99" s="16">
        <v>2.5</v>
      </c>
      <c r="I99" s="16">
        <v>2.5</v>
      </c>
      <c r="J99" s="17">
        <v>20</v>
      </c>
    </row>
    <row r="100" spans="1:10" x14ac:dyDescent="0.25">
      <c r="A100" s="4" t="s">
        <v>110</v>
      </c>
      <c r="B100" s="4">
        <v>1</v>
      </c>
      <c r="C100" s="5" t="s">
        <v>183</v>
      </c>
      <c r="D100" s="4" t="s">
        <v>117</v>
      </c>
      <c r="E100" s="6">
        <v>4000</v>
      </c>
      <c r="F100" s="7">
        <f t="shared" si="4"/>
        <v>18.181818181818183</v>
      </c>
      <c r="G100" s="16">
        <v>2.5</v>
      </c>
      <c r="H100" s="16">
        <v>2.5</v>
      </c>
      <c r="I100" s="16">
        <v>2.5</v>
      </c>
      <c r="J100" s="17">
        <v>20</v>
      </c>
    </row>
    <row r="101" spans="1:10" x14ac:dyDescent="0.25">
      <c r="A101" s="4" t="s">
        <v>110</v>
      </c>
      <c r="B101" s="4">
        <v>1</v>
      </c>
      <c r="C101" s="5" t="s">
        <v>183</v>
      </c>
      <c r="D101" s="4" t="s">
        <v>118</v>
      </c>
      <c r="E101" s="6">
        <v>4000</v>
      </c>
      <c r="F101" s="7">
        <f t="shared" si="4"/>
        <v>18.181818181818183</v>
      </c>
      <c r="G101" s="16">
        <v>2.5</v>
      </c>
      <c r="H101" s="16">
        <v>2.5</v>
      </c>
      <c r="I101" s="16">
        <v>2.5</v>
      </c>
      <c r="J101" s="17">
        <v>20</v>
      </c>
    </row>
    <row r="102" spans="1:10" x14ac:dyDescent="0.25">
      <c r="A102" s="4" t="s">
        <v>110</v>
      </c>
      <c r="B102" s="4">
        <v>1</v>
      </c>
      <c r="C102" s="5" t="s">
        <v>183</v>
      </c>
      <c r="D102" s="4" t="s">
        <v>119</v>
      </c>
      <c r="E102" s="6">
        <v>4000</v>
      </c>
      <c r="F102" s="7">
        <f t="shared" si="4"/>
        <v>18.181818181818183</v>
      </c>
      <c r="G102" s="16">
        <v>2.5</v>
      </c>
      <c r="H102" s="16">
        <v>2.5</v>
      </c>
      <c r="I102" s="16">
        <v>2.5</v>
      </c>
      <c r="J102" s="17">
        <v>20</v>
      </c>
    </row>
    <row r="103" spans="1:10" x14ac:dyDescent="0.25">
      <c r="A103" s="4" t="s">
        <v>110</v>
      </c>
      <c r="B103" s="4">
        <v>1</v>
      </c>
      <c r="C103" s="5" t="s">
        <v>183</v>
      </c>
      <c r="D103" s="4" t="s">
        <v>120</v>
      </c>
      <c r="E103" s="6">
        <v>4000</v>
      </c>
      <c r="F103" s="7">
        <f t="shared" si="4"/>
        <v>18.181818181818183</v>
      </c>
      <c r="G103" s="16">
        <v>2.5</v>
      </c>
      <c r="H103" s="16">
        <v>2.5</v>
      </c>
      <c r="I103" s="16">
        <v>2.5</v>
      </c>
      <c r="J103" s="17">
        <v>20</v>
      </c>
    </row>
    <row r="104" spans="1:10" x14ac:dyDescent="0.25">
      <c r="A104" s="4" t="s">
        <v>110</v>
      </c>
      <c r="B104" s="4">
        <v>1</v>
      </c>
      <c r="C104" s="5" t="s">
        <v>183</v>
      </c>
      <c r="D104" s="4" t="s">
        <v>121</v>
      </c>
      <c r="E104" s="6">
        <v>4000</v>
      </c>
      <c r="F104" s="7">
        <f t="shared" si="4"/>
        <v>18.181818181818183</v>
      </c>
      <c r="G104" s="16">
        <v>2.5</v>
      </c>
      <c r="H104" s="16">
        <v>2.5</v>
      </c>
      <c r="I104" s="16">
        <v>2.5</v>
      </c>
      <c r="J104" s="17">
        <v>20</v>
      </c>
    </row>
    <row r="105" spans="1:10" x14ac:dyDescent="0.25">
      <c r="A105" s="4" t="s">
        <v>110</v>
      </c>
      <c r="B105" s="4">
        <v>1</v>
      </c>
      <c r="C105" s="5" t="s">
        <v>183</v>
      </c>
      <c r="D105" s="4" t="s">
        <v>122</v>
      </c>
      <c r="E105" s="6">
        <v>4000</v>
      </c>
      <c r="F105" s="7">
        <f t="shared" si="4"/>
        <v>18.181818181818183</v>
      </c>
      <c r="G105" s="16">
        <v>2.5</v>
      </c>
      <c r="H105" s="16">
        <v>2.5</v>
      </c>
      <c r="I105" s="16">
        <v>2.5</v>
      </c>
      <c r="J105" s="17">
        <v>20</v>
      </c>
    </row>
    <row r="106" spans="1:10" x14ac:dyDescent="0.25">
      <c r="A106" s="4" t="s">
        <v>110</v>
      </c>
      <c r="B106" s="4">
        <v>1</v>
      </c>
      <c r="C106" s="5" t="s">
        <v>183</v>
      </c>
      <c r="D106" s="4" t="s">
        <v>123</v>
      </c>
      <c r="E106" s="6">
        <v>4000</v>
      </c>
      <c r="F106" s="7">
        <f t="shared" si="4"/>
        <v>18.181818181818183</v>
      </c>
      <c r="G106" s="16">
        <v>2.5</v>
      </c>
      <c r="H106" s="16">
        <v>2.5</v>
      </c>
      <c r="I106" s="16">
        <v>2.5</v>
      </c>
      <c r="J106" s="17">
        <v>20</v>
      </c>
    </row>
    <row r="107" spans="1:10" x14ac:dyDescent="0.25">
      <c r="A107" s="4" t="s">
        <v>110</v>
      </c>
      <c r="B107" s="4">
        <v>1</v>
      </c>
      <c r="C107" s="5" t="s">
        <v>183</v>
      </c>
      <c r="D107" s="4" t="s">
        <v>124</v>
      </c>
      <c r="E107" s="6">
        <v>4000</v>
      </c>
      <c r="F107" s="7">
        <f t="shared" si="4"/>
        <v>18.181818181818183</v>
      </c>
      <c r="G107" s="16">
        <v>2.5</v>
      </c>
      <c r="H107" s="16">
        <v>2.5</v>
      </c>
      <c r="I107" s="16">
        <v>2.5</v>
      </c>
      <c r="J107" s="17">
        <v>20</v>
      </c>
    </row>
    <row r="108" spans="1:10" x14ac:dyDescent="0.25">
      <c r="A108" s="4" t="s">
        <v>110</v>
      </c>
      <c r="B108" s="4">
        <v>1</v>
      </c>
      <c r="C108" s="5" t="s">
        <v>183</v>
      </c>
      <c r="D108" s="4" t="s">
        <v>125</v>
      </c>
      <c r="E108" s="6">
        <v>4000</v>
      </c>
      <c r="F108" s="7">
        <f t="shared" si="4"/>
        <v>18.181818181818183</v>
      </c>
      <c r="G108" s="16">
        <v>2.5</v>
      </c>
      <c r="H108" s="16">
        <v>2.5</v>
      </c>
      <c r="I108" s="16">
        <v>2.5</v>
      </c>
      <c r="J108" s="17">
        <v>20</v>
      </c>
    </row>
    <row r="109" spans="1:10" x14ac:dyDescent="0.25">
      <c r="A109" s="4" t="s">
        <v>72</v>
      </c>
      <c r="B109" s="4">
        <v>1</v>
      </c>
      <c r="C109" s="5" t="s">
        <v>183</v>
      </c>
      <c r="D109" s="4" t="s">
        <v>126</v>
      </c>
      <c r="E109" s="6">
        <v>2200</v>
      </c>
      <c r="F109" s="7">
        <f t="shared" si="4"/>
        <v>10</v>
      </c>
      <c r="G109" s="16">
        <v>2.5</v>
      </c>
      <c r="H109" s="16">
        <v>2.5</v>
      </c>
      <c r="I109" s="16">
        <v>2.5</v>
      </c>
      <c r="J109" s="17">
        <v>12</v>
      </c>
    </row>
    <row r="110" spans="1:10" x14ac:dyDescent="0.25">
      <c r="A110" s="4" t="s">
        <v>72</v>
      </c>
      <c r="B110" s="4">
        <v>1</v>
      </c>
      <c r="C110" s="5" t="s">
        <v>183</v>
      </c>
      <c r="D110" s="4" t="s">
        <v>127</v>
      </c>
      <c r="E110" s="6">
        <v>2200</v>
      </c>
      <c r="F110" s="7">
        <f t="shared" si="4"/>
        <v>10</v>
      </c>
      <c r="G110" s="16">
        <v>2.5</v>
      </c>
      <c r="H110" s="16">
        <v>2.5</v>
      </c>
      <c r="I110" s="16">
        <v>2.5</v>
      </c>
      <c r="J110" s="17">
        <v>12</v>
      </c>
    </row>
    <row r="111" spans="1:10" x14ac:dyDescent="0.25">
      <c r="A111" s="4" t="s">
        <v>72</v>
      </c>
      <c r="B111" s="4">
        <v>1</v>
      </c>
      <c r="C111" s="5" t="s">
        <v>183</v>
      </c>
      <c r="D111" s="4" t="s">
        <v>128</v>
      </c>
      <c r="E111" s="6">
        <v>2200</v>
      </c>
      <c r="F111" s="7">
        <f t="shared" si="4"/>
        <v>10</v>
      </c>
      <c r="G111" s="16">
        <v>2.5</v>
      </c>
      <c r="H111" s="16">
        <v>2.5</v>
      </c>
      <c r="I111" s="16">
        <v>2.5</v>
      </c>
      <c r="J111" s="17">
        <v>12</v>
      </c>
    </row>
    <row r="112" spans="1:10" x14ac:dyDescent="0.25">
      <c r="A112" s="4" t="s">
        <v>72</v>
      </c>
      <c r="B112" s="4">
        <v>1</v>
      </c>
      <c r="C112" s="5" t="s">
        <v>183</v>
      </c>
      <c r="D112" s="4" t="s">
        <v>129</v>
      </c>
      <c r="E112" s="6">
        <v>2200</v>
      </c>
      <c r="F112" s="7">
        <f t="shared" si="4"/>
        <v>10</v>
      </c>
      <c r="G112" s="16">
        <v>2.5</v>
      </c>
      <c r="H112" s="16">
        <v>2.5</v>
      </c>
      <c r="I112" s="16">
        <v>2.5</v>
      </c>
      <c r="J112" s="17">
        <v>12</v>
      </c>
    </row>
    <row r="113" spans="1:10" x14ac:dyDescent="0.25">
      <c r="A113" s="4" t="s">
        <v>72</v>
      </c>
      <c r="B113" s="4">
        <v>1</v>
      </c>
      <c r="C113" s="5" t="s">
        <v>183</v>
      </c>
      <c r="D113" s="4" t="s">
        <v>130</v>
      </c>
      <c r="E113" s="6">
        <v>2200</v>
      </c>
      <c r="F113" s="7">
        <f t="shared" si="4"/>
        <v>10</v>
      </c>
      <c r="G113" s="16">
        <v>2.5</v>
      </c>
      <c r="H113" s="16">
        <v>2.5</v>
      </c>
      <c r="I113" s="16">
        <v>2.5</v>
      </c>
      <c r="J113" s="17">
        <v>12</v>
      </c>
    </row>
    <row r="114" spans="1:10" x14ac:dyDescent="0.25">
      <c r="A114" s="4"/>
      <c r="B114" s="4"/>
      <c r="C114" s="5"/>
      <c r="D114" s="4"/>
      <c r="E114" s="6"/>
      <c r="F114" s="7"/>
      <c r="G114" s="16"/>
      <c r="H114" s="16"/>
      <c r="I114" s="16"/>
      <c r="J114" s="17"/>
    </row>
    <row r="115" spans="1:10" x14ac:dyDescent="0.25">
      <c r="A115" s="4"/>
      <c r="B115" s="4"/>
      <c r="C115" s="5"/>
      <c r="D115" s="4"/>
      <c r="E115" s="6"/>
      <c r="F115" s="7"/>
      <c r="G115" s="16"/>
      <c r="H115" s="16"/>
      <c r="I115" s="16"/>
      <c r="J115" s="17"/>
    </row>
    <row r="116" spans="1:10" x14ac:dyDescent="0.25">
      <c r="A116" s="1" t="s">
        <v>131</v>
      </c>
      <c r="B116" s="1" t="s">
        <v>1</v>
      </c>
      <c r="C116" s="2" t="s">
        <v>178</v>
      </c>
      <c r="D116" s="2" t="s">
        <v>2</v>
      </c>
      <c r="E116" s="2" t="s">
        <v>3</v>
      </c>
      <c r="F116" s="3" t="s">
        <v>4</v>
      </c>
      <c r="G116" s="14" t="s">
        <v>179</v>
      </c>
      <c r="H116" s="1" t="s">
        <v>180</v>
      </c>
      <c r="I116" s="15" t="s">
        <v>181</v>
      </c>
      <c r="J116" s="1" t="s">
        <v>182</v>
      </c>
    </row>
    <row r="117" spans="1:10" x14ac:dyDescent="0.25">
      <c r="A117" s="4" t="s">
        <v>132</v>
      </c>
      <c r="B117" s="4">
        <v>1</v>
      </c>
      <c r="C117" s="5" t="s">
        <v>183</v>
      </c>
      <c r="D117" s="4" t="s">
        <v>133</v>
      </c>
      <c r="E117" s="6">
        <v>72000</v>
      </c>
      <c r="F117" s="7">
        <f t="shared" ref="F117:F139" si="5">E117/220</f>
        <v>327.27272727272725</v>
      </c>
      <c r="G117" s="16">
        <v>2.5</v>
      </c>
      <c r="H117" s="16">
        <v>2.5</v>
      </c>
      <c r="I117" s="16">
        <v>2.5</v>
      </c>
      <c r="J117" s="17">
        <v>350</v>
      </c>
    </row>
    <row r="118" spans="1:10" x14ac:dyDescent="0.25">
      <c r="A118" s="4" t="s">
        <v>64</v>
      </c>
      <c r="B118" s="4">
        <v>3</v>
      </c>
      <c r="C118" s="5" t="s">
        <v>183</v>
      </c>
      <c r="D118" s="4" t="s">
        <v>134</v>
      </c>
      <c r="E118" s="12">
        <v>1380</v>
      </c>
      <c r="F118" s="7">
        <f t="shared" si="5"/>
        <v>6.2727272727272725</v>
      </c>
      <c r="G118" s="16">
        <v>2.5</v>
      </c>
      <c r="H118" s="16">
        <v>2.5</v>
      </c>
      <c r="I118" s="16">
        <v>2.5</v>
      </c>
      <c r="J118" s="17">
        <v>10</v>
      </c>
    </row>
    <row r="119" spans="1:10" x14ac:dyDescent="0.25">
      <c r="A119" s="4" t="s">
        <v>64</v>
      </c>
      <c r="B119" s="4">
        <v>2</v>
      </c>
      <c r="C119" s="5" t="s">
        <v>183</v>
      </c>
      <c r="D119" s="4" t="s">
        <v>135</v>
      </c>
      <c r="E119" s="12">
        <v>920</v>
      </c>
      <c r="F119" s="7">
        <f t="shared" si="5"/>
        <v>4.1818181818181817</v>
      </c>
      <c r="G119" s="16">
        <v>2.5</v>
      </c>
      <c r="H119" s="16">
        <v>2.5</v>
      </c>
      <c r="I119" s="16">
        <v>2.5</v>
      </c>
      <c r="J119" s="17">
        <v>6</v>
      </c>
    </row>
    <row r="120" spans="1:10" x14ac:dyDescent="0.25">
      <c r="A120" s="4" t="s">
        <v>81</v>
      </c>
      <c r="B120" s="4">
        <v>5</v>
      </c>
      <c r="C120" s="5" t="s">
        <v>183</v>
      </c>
      <c r="D120" s="4" t="s">
        <v>136</v>
      </c>
      <c r="E120" s="4">
        <v>750</v>
      </c>
      <c r="F120" s="7">
        <f t="shared" si="5"/>
        <v>3.4090909090909092</v>
      </c>
      <c r="G120" s="16">
        <v>2.5</v>
      </c>
      <c r="H120" s="16">
        <v>2.5</v>
      </c>
      <c r="I120" s="16">
        <v>2.5</v>
      </c>
      <c r="J120" s="17">
        <v>6</v>
      </c>
    </row>
    <row r="121" spans="1:10" x14ac:dyDescent="0.25">
      <c r="A121" s="4" t="s">
        <v>137</v>
      </c>
      <c r="B121" s="4">
        <v>1</v>
      </c>
      <c r="C121" s="5" t="s">
        <v>183</v>
      </c>
      <c r="D121" s="4" t="s">
        <v>138</v>
      </c>
      <c r="E121" s="6">
        <v>1000</v>
      </c>
      <c r="F121" s="7">
        <f t="shared" si="5"/>
        <v>4.5454545454545459</v>
      </c>
      <c r="G121" s="16">
        <v>2.5</v>
      </c>
      <c r="H121" s="16">
        <v>2.5</v>
      </c>
      <c r="I121" s="16">
        <v>2.5</v>
      </c>
      <c r="J121" s="17">
        <v>6</v>
      </c>
    </row>
    <row r="122" spans="1:10" x14ac:dyDescent="0.25">
      <c r="A122" s="4" t="s">
        <v>137</v>
      </c>
      <c r="B122" s="4">
        <v>1</v>
      </c>
      <c r="C122" s="5" t="s">
        <v>183</v>
      </c>
      <c r="D122" s="4" t="s">
        <v>139</v>
      </c>
      <c r="E122" s="6">
        <v>1000</v>
      </c>
      <c r="F122" s="7">
        <f t="shared" si="5"/>
        <v>4.5454545454545459</v>
      </c>
      <c r="G122" s="16">
        <v>2.5</v>
      </c>
      <c r="H122" s="16">
        <v>2.5</v>
      </c>
      <c r="I122" s="16">
        <v>2.5</v>
      </c>
      <c r="J122" s="17">
        <v>6</v>
      </c>
    </row>
    <row r="123" spans="1:10" x14ac:dyDescent="0.25">
      <c r="A123" s="4" t="s">
        <v>137</v>
      </c>
      <c r="B123" s="4">
        <v>1</v>
      </c>
      <c r="C123" s="5" t="s">
        <v>183</v>
      </c>
      <c r="D123" s="4" t="s">
        <v>140</v>
      </c>
      <c r="E123" s="6">
        <v>1000</v>
      </c>
      <c r="F123" s="7">
        <f t="shared" si="5"/>
        <v>4.5454545454545459</v>
      </c>
      <c r="G123" s="16">
        <v>2.5</v>
      </c>
      <c r="H123" s="16">
        <v>2.5</v>
      </c>
      <c r="I123" s="16">
        <v>2.5</v>
      </c>
      <c r="J123" s="17">
        <v>6</v>
      </c>
    </row>
    <row r="124" spans="1:10" x14ac:dyDescent="0.25">
      <c r="A124" s="4" t="s">
        <v>137</v>
      </c>
      <c r="B124" s="4">
        <v>1</v>
      </c>
      <c r="C124" s="5" t="s">
        <v>183</v>
      </c>
      <c r="D124" s="4" t="s">
        <v>141</v>
      </c>
      <c r="E124" s="6">
        <v>1000</v>
      </c>
      <c r="F124" s="7">
        <f t="shared" si="5"/>
        <v>4.5454545454545459</v>
      </c>
      <c r="G124" s="16">
        <v>2.5</v>
      </c>
      <c r="H124" s="16">
        <v>2.5</v>
      </c>
      <c r="I124" s="16">
        <v>2.5</v>
      </c>
      <c r="J124" s="17">
        <v>6</v>
      </c>
    </row>
    <row r="125" spans="1:10" x14ac:dyDescent="0.25">
      <c r="A125" s="4" t="s">
        <v>137</v>
      </c>
      <c r="B125" s="4">
        <v>1</v>
      </c>
      <c r="C125" s="5" t="s">
        <v>183</v>
      </c>
      <c r="D125" s="4" t="s">
        <v>142</v>
      </c>
      <c r="E125" s="6">
        <v>1000</v>
      </c>
      <c r="F125" s="7">
        <f t="shared" si="5"/>
        <v>4.5454545454545459</v>
      </c>
      <c r="G125" s="16">
        <v>2.5</v>
      </c>
      <c r="H125" s="16">
        <v>2.5</v>
      </c>
      <c r="I125" s="16">
        <v>2.5</v>
      </c>
      <c r="J125" s="17">
        <v>6</v>
      </c>
    </row>
    <row r="126" spans="1:10" x14ac:dyDescent="0.25">
      <c r="A126" s="4" t="s">
        <v>143</v>
      </c>
      <c r="B126" s="4">
        <v>1</v>
      </c>
      <c r="C126" s="5" t="s">
        <v>183</v>
      </c>
      <c r="D126" s="4" t="s">
        <v>144</v>
      </c>
      <c r="E126" s="6">
        <v>2000</v>
      </c>
      <c r="F126" s="7">
        <f t="shared" si="5"/>
        <v>9.0909090909090917</v>
      </c>
      <c r="G126" s="16">
        <v>2.5</v>
      </c>
      <c r="H126" s="16">
        <v>2.5</v>
      </c>
      <c r="I126" s="16">
        <v>2.5</v>
      </c>
      <c r="J126" s="17">
        <v>10</v>
      </c>
    </row>
    <row r="127" spans="1:10" x14ac:dyDescent="0.25">
      <c r="A127" s="4" t="s">
        <v>143</v>
      </c>
      <c r="B127" s="4">
        <v>1</v>
      </c>
      <c r="C127" s="5" t="s">
        <v>183</v>
      </c>
      <c r="D127" s="4" t="s">
        <v>145</v>
      </c>
      <c r="E127" s="6">
        <v>2000</v>
      </c>
      <c r="F127" s="7">
        <f t="shared" si="5"/>
        <v>9.0909090909090917</v>
      </c>
      <c r="G127" s="16">
        <v>2.5</v>
      </c>
      <c r="H127" s="16">
        <v>2.5</v>
      </c>
      <c r="I127" s="16">
        <v>2.5</v>
      </c>
      <c r="J127" s="17">
        <v>10</v>
      </c>
    </row>
    <row r="128" spans="1:10" x14ac:dyDescent="0.25">
      <c r="A128" s="4" t="s">
        <v>143</v>
      </c>
      <c r="B128" s="4">
        <v>1</v>
      </c>
      <c r="C128" s="5" t="s">
        <v>183</v>
      </c>
      <c r="D128" s="4" t="s">
        <v>146</v>
      </c>
      <c r="E128" s="6">
        <v>2000</v>
      </c>
      <c r="F128" s="7">
        <f t="shared" si="5"/>
        <v>9.0909090909090917</v>
      </c>
      <c r="G128" s="16">
        <v>2.5</v>
      </c>
      <c r="H128" s="16">
        <v>2.5</v>
      </c>
      <c r="I128" s="16">
        <v>2.5</v>
      </c>
      <c r="J128" s="17">
        <v>10</v>
      </c>
    </row>
    <row r="129" spans="1:10" x14ac:dyDescent="0.25">
      <c r="A129" s="4" t="s">
        <v>143</v>
      </c>
      <c r="B129" s="4">
        <v>1</v>
      </c>
      <c r="C129" s="5" t="s">
        <v>183</v>
      </c>
      <c r="D129" s="4" t="s">
        <v>147</v>
      </c>
      <c r="E129" s="6">
        <v>2000</v>
      </c>
      <c r="F129" s="7">
        <f t="shared" si="5"/>
        <v>9.0909090909090917</v>
      </c>
      <c r="G129" s="16">
        <v>2.5</v>
      </c>
      <c r="H129" s="16">
        <v>2.5</v>
      </c>
      <c r="I129" s="16">
        <v>2.5</v>
      </c>
      <c r="J129" s="17">
        <v>10</v>
      </c>
    </row>
    <row r="130" spans="1:10" x14ac:dyDescent="0.25">
      <c r="A130" s="4" t="s">
        <v>143</v>
      </c>
      <c r="B130" s="4">
        <v>1</v>
      </c>
      <c r="C130" s="5" t="s">
        <v>183</v>
      </c>
      <c r="D130" s="4" t="s">
        <v>148</v>
      </c>
      <c r="E130" s="6">
        <v>2000</v>
      </c>
      <c r="F130" s="7">
        <f t="shared" si="5"/>
        <v>9.0909090909090917</v>
      </c>
      <c r="G130" s="16">
        <v>2.5</v>
      </c>
      <c r="H130" s="16">
        <v>2.5</v>
      </c>
      <c r="I130" s="16">
        <v>2.5</v>
      </c>
      <c r="J130" s="17">
        <v>10</v>
      </c>
    </row>
    <row r="131" spans="1:10" x14ac:dyDescent="0.25">
      <c r="A131" s="4" t="s">
        <v>149</v>
      </c>
      <c r="B131" s="4">
        <v>5</v>
      </c>
      <c r="C131" s="5" t="s">
        <v>183</v>
      </c>
      <c r="D131" s="4" t="s">
        <v>150</v>
      </c>
      <c r="E131" s="4">
        <v>250</v>
      </c>
      <c r="F131" s="7">
        <f t="shared" si="5"/>
        <v>1.1363636363636365</v>
      </c>
      <c r="G131" s="16">
        <v>2.5</v>
      </c>
      <c r="H131" s="16">
        <v>2.5</v>
      </c>
      <c r="I131" s="16">
        <v>2.5</v>
      </c>
      <c r="J131" s="17">
        <v>2</v>
      </c>
    </row>
    <row r="132" spans="1:10" x14ac:dyDescent="0.25">
      <c r="A132" s="4" t="s">
        <v>72</v>
      </c>
      <c r="B132" s="4">
        <v>1</v>
      </c>
      <c r="C132" s="5" t="s">
        <v>183</v>
      </c>
      <c r="D132" s="4" t="s">
        <v>151</v>
      </c>
      <c r="E132" s="6">
        <v>2200</v>
      </c>
      <c r="F132" s="7">
        <f t="shared" si="5"/>
        <v>10</v>
      </c>
      <c r="G132" s="16">
        <v>2.5</v>
      </c>
      <c r="H132" s="16">
        <v>2.5</v>
      </c>
      <c r="I132" s="16">
        <v>2.5</v>
      </c>
      <c r="J132" s="17">
        <v>12</v>
      </c>
    </row>
    <row r="133" spans="1:10" x14ac:dyDescent="0.25">
      <c r="A133" s="4" t="s">
        <v>72</v>
      </c>
      <c r="B133" s="4">
        <v>1</v>
      </c>
      <c r="C133" s="5" t="s">
        <v>183</v>
      </c>
      <c r="D133" s="4" t="s">
        <v>152</v>
      </c>
      <c r="E133" s="6">
        <v>2200</v>
      </c>
      <c r="F133" s="7">
        <f t="shared" si="5"/>
        <v>10</v>
      </c>
      <c r="G133" s="16">
        <v>2.5</v>
      </c>
      <c r="H133" s="16">
        <v>2.5</v>
      </c>
      <c r="I133" s="16">
        <v>2.5</v>
      </c>
      <c r="J133" s="17">
        <v>12</v>
      </c>
    </row>
    <row r="134" spans="1:10" x14ac:dyDescent="0.25">
      <c r="A134" s="4" t="s">
        <v>72</v>
      </c>
      <c r="B134" s="4">
        <v>1</v>
      </c>
      <c r="C134" s="5" t="s">
        <v>183</v>
      </c>
      <c r="D134" s="4" t="s">
        <v>153</v>
      </c>
      <c r="E134" s="6">
        <v>2200</v>
      </c>
      <c r="F134" s="7">
        <f t="shared" si="5"/>
        <v>10</v>
      </c>
      <c r="G134" s="16">
        <v>2.5</v>
      </c>
      <c r="H134" s="16">
        <v>2.5</v>
      </c>
      <c r="I134" s="16">
        <v>2.5</v>
      </c>
      <c r="J134" s="17">
        <v>12</v>
      </c>
    </row>
    <row r="135" spans="1:10" x14ac:dyDescent="0.25">
      <c r="A135" s="4" t="s">
        <v>72</v>
      </c>
      <c r="B135" s="4">
        <v>1</v>
      </c>
      <c r="C135" s="5" t="s">
        <v>183</v>
      </c>
      <c r="D135" s="4" t="s">
        <v>154</v>
      </c>
      <c r="E135" s="6">
        <v>2200</v>
      </c>
      <c r="F135" s="7">
        <f t="shared" si="5"/>
        <v>10</v>
      </c>
      <c r="G135" s="16">
        <v>2.5</v>
      </c>
      <c r="H135" s="16">
        <v>2.5</v>
      </c>
      <c r="I135" s="16">
        <v>2.5</v>
      </c>
      <c r="J135" s="17">
        <v>12</v>
      </c>
    </row>
    <row r="136" spans="1:10" x14ac:dyDescent="0.25">
      <c r="A136" s="4" t="s">
        <v>72</v>
      </c>
      <c r="B136" s="4">
        <v>1</v>
      </c>
      <c r="C136" s="5" t="s">
        <v>183</v>
      </c>
      <c r="D136" s="4" t="s">
        <v>155</v>
      </c>
      <c r="E136" s="6">
        <v>2200</v>
      </c>
      <c r="F136" s="7">
        <f t="shared" si="5"/>
        <v>10</v>
      </c>
      <c r="G136" s="16">
        <v>2.5</v>
      </c>
      <c r="H136" s="16">
        <v>2.5</v>
      </c>
      <c r="I136" s="16">
        <v>2.5</v>
      </c>
      <c r="J136" s="17">
        <v>12</v>
      </c>
    </row>
    <row r="137" spans="1:10" x14ac:dyDescent="0.25">
      <c r="A137" s="4" t="s">
        <v>72</v>
      </c>
      <c r="B137" s="4">
        <v>1</v>
      </c>
      <c r="C137" s="5" t="s">
        <v>183</v>
      </c>
      <c r="D137" s="4" t="s">
        <v>156</v>
      </c>
      <c r="E137" s="6">
        <v>2200</v>
      </c>
      <c r="F137" s="7">
        <f t="shared" si="5"/>
        <v>10</v>
      </c>
      <c r="G137" s="16">
        <v>2.5</v>
      </c>
      <c r="H137" s="16">
        <v>2.5</v>
      </c>
      <c r="I137" s="16">
        <v>2.5</v>
      </c>
      <c r="J137" s="17">
        <v>12</v>
      </c>
    </row>
    <row r="138" spans="1:10" x14ac:dyDescent="0.25">
      <c r="A138" s="4" t="s">
        <v>72</v>
      </c>
      <c r="B138" s="4">
        <v>1</v>
      </c>
      <c r="C138" s="5" t="s">
        <v>183</v>
      </c>
      <c r="D138" s="4" t="s">
        <v>157</v>
      </c>
      <c r="E138" s="6">
        <v>2200</v>
      </c>
      <c r="F138" s="7">
        <f t="shared" si="5"/>
        <v>10</v>
      </c>
      <c r="G138" s="16">
        <v>2.5</v>
      </c>
      <c r="H138" s="16">
        <v>2.5</v>
      </c>
      <c r="I138" s="16">
        <v>2.5</v>
      </c>
      <c r="J138" s="17">
        <v>12</v>
      </c>
    </row>
    <row r="139" spans="1:10" x14ac:dyDescent="0.25">
      <c r="A139" s="4" t="s">
        <v>72</v>
      </c>
      <c r="B139" s="4">
        <v>1</v>
      </c>
      <c r="C139" s="5" t="s">
        <v>183</v>
      </c>
      <c r="D139" s="4" t="s">
        <v>158</v>
      </c>
      <c r="E139" s="6">
        <v>2200</v>
      </c>
      <c r="F139" s="7">
        <f t="shared" si="5"/>
        <v>10</v>
      </c>
      <c r="G139" s="16">
        <v>2.5</v>
      </c>
      <c r="H139" s="16">
        <v>2.5</v>
      </c>
      <c r="I139" s="16">
        <v>2.5</v>
      </c>
      <c r="J139" s="17">
        <v>12</v>
      </c>
    </row>
    <row r="140" spans="1:10" x14ac:dyDescent="0.25">
      <c r="A140" s="4"/>
      <c r="B140" s="4"/>
      <c r="C140" s="5"/>
      <c r="D140" s="4"/>
      <c r="E140" s="6"/>
      <c r="F140" s="7"/>
      <c r="G140" s="16"/>
      <c r="H140" s="16"/>
      <c r="I140" s="16"/>
      <c r="J140" s="17"/>
    </row>
    <row r="141" spans="1:10" x14ac:dyDescent="0.25">
      <c r="A141" s="4"/>
      <c r="B141" s="4"/>
      <c r="C141" s="5"/>
      <c r="D141" s="4"/>
      <c r="E141" s="6"/>
      <c r="F141" s="7"/>
      <c r="G141" s="16"/>
      <c r="H141" s="16"/>
      <c r="I141" s="16"/>
      <c r="J141" s="17"/>
    </row>
    <row r="142" spans="1:10" x14ac:dyDescent="0.25">
      <c r="A142" s="1" t="s">
        <v>159</v>
      </c>
      <c r="B142" s="1" t="s">
        <v>1</v>
      </c>
      <c r="C142" s="2" t="s">
        <v>178</v>
      </c>
      <c r="D142" s="2" t="s">
        <v>2</v>
      </c>
      <c r="E142" s="2" t="s">
        <v>3</v>
      </c>
      <c r="F142" s="3" t="s">
        <v>4</v>
      </c>
      <c r="G142" s="14" t="s">
        <v>179</v>
      </c>
      <c r="H142" s="1" t="s">
        <v>180</v>
      </c>
      <c r="I142" s="15" t="s">
        <v>181</v>
      </c>
      <c r="J142" s="1" t="s">
        <v>182</v>
      </c>
    </row>
    <row r="143" spans="1:10" x14ac:dyDescent="0.25">
      <c r="A143" s="4" t="s">
        <v>72</v>
      </c>
      <c r="B143" s="4">
        <v>1</v>
      </c>
      <c r="C143" s="5" t="s">
        <v>183</v>
      </c>
      <c r="D143" s="4" t="s">
        <v>160</v>
      </c>
      <c r="E143" s="6">
        <v>2200</v>
      </c>
      <c r="F143" s="7">
        <f t="shared" ref="F143:F149" si="6">E143/220</f>
        <v>10</v>
      </c>
      <c r="G143" s="16">
        <v>2.5</v>
      </c>
      <c r="H143" s="16">
        <v>2.5</v>
      </c>
      <c r="I143" s="16">
        <v>2.5</v>
      </c>
      <c r="J143" s="17">
        <v>12</v>
      </c>
    </row>
    <row r="144" spans="1:10" x14ac:dyDescent="0.25">
      <c r="A144" s="4" t="s">
        <v>72</v>
      </c>
      <c r="B144" s="4">
        <v>1</v>
      </c>
      <c r="C144" s="5" t="s">
        <v>183</v>
      </c>
      <c r="D144" s="4" t="s">
        <v>161</v>
      </c>
      <c r="E144" s="6">
        <v>2200</v>
      </c>
      <c r="F144" s="7">
        <f t="shared" si="6"/>
        <v>10</v>
      </c>
      <c r="G144" s="16">
        <v>2.5</v>
      </c>
      <c r="H144" s="16">
        <v>2.5</v>
      </c>
      <c r="I144" s="16">
        <v>2.5</v>
      </c>
      <c r="J144" s="17">
        <v>12</v>
      </c>
    </row>
    <row r="145" spans="1:10" x14ac:dyDescent="0.25">
      <c r="A145" s="4" t="s">
        <v>72</v>
      </c>
      <c r="B145" s="4">
        <v>1</v>
      </c>
      <c r="C145" s="5" t="s">
        <v>183</v>
      </c>
      <c r="D145" s="4" t="s">
        <v>162</v>
      </c>
      <c r="E145" s="6">
        <v>2200</v>
      </c>
      <c r="F145" s="7">
        <f t="shared" si="6"/>
        <v>10</v>
      </c>
      <c r="G145" s="16">
        <v>2.5</v>
      </c>
      <c r="H145" s="16">
        <v>2.5</v>
      </c>
      <c r="I145" s="16">
        <v>2.5</v>
      </c>
      <c r="J145" s="17">
        <v>12</v>
      </c>
    </row>
    <row r="146" spans="1:10" x14ac:dyDescent="0.25">
      <c r="A146" s="4" t="s">
        <v>72</v>
      </c>
      <c r="B146" s="4">
        <v>1</v>
      </c>
      <c r="C146" s="5" t="s">
        <v>183</v>
      </c>
      <c r="D146" s="4" t="s">
        <v>163</v>
      </c>
      <c r="E146" s="6">
        <v>2200</v>
      </c>
      <c r="F146" s="7">
        <f t="shared" si="6"/>
        <v>10</v>
      </c>
      <c r="G146" s="16">
        <v>2.5</v>
      </c>
      <c r="H146" s="16">
        <v>2.5</v>
      </c>
      <c r="I146" s="16">
        <v>2.5</v>
      </c>
      <c r="J146" s="17">
        <v>12</v>
      </c>
    </row>
    <row r="147" spans="1:10" x14ac:dyDescent="0.25">
      <c r="A147" s="4" t="s">
        <v>72</v>
      </c>
      <c r="B147" s="4">
        <v>1</v>
      </c>
      <c r="C147" s="5" t="s">
        <v>183</v>
      </c>
      <c r="D147" s="4" t="s">
        <v>164</v>
      </c>
      <c r="E147" s="6">
        <v>2200</v>
      </c>
      <c r="F147" s="7">
        <f t="shared" si="6"/>
        <v>10</v>
      </c>
      <c r="G147" s="16">
        <v>2.5</v>
      </c>
      <c r="H147" s="16">
        <v>2.5</v>
      </c>
      <c r="I147" s="16">
        <v>2.5</v>
      </c>
      <c r="J147" s="17">
        <v>12</v>
      </c>
    </row>
    <row r="148" spans="1:10" x14ac:dyDescent="0.25">
      <c r="A148" s="4" t="s">
        <v>72</v>
      </c>
      <c r="B148" s="4">
        <v>1</v>
      </c>
      <c r="C148" s="5" t="s">
        <v>183</v>
      </c>
      <c r="D148" s="4" t="s">
        <v>165</v>
      </c>
      <c r="E148" s="6">
        <v>2200</v>
      </c>
      <c r="F148" s="7">
        <f t="shared" si="6"/>
        <v>10</v>
      </c>
      <c r="G148" s="16">
        <v>2.5</v>
      </c>
      <c r="H148" s="16">
        <v>2.5</v>
      </c>
      <c r="I148" s="16">
        <v>2.5</v>
      </c>
      <c r="J148" s="17">
        <v>12</v>
      </c>
    </row>
    <row r="149" spans="1:10" x14ac:dyDescent="0.25">
      <c r="A149" s="4" t="s">
        <v>69</v>
      </c>
      <c r="B149" s="4">
        <v>1</v>
      </c>
      <c r="C149" s="5" t="s">
        <v>183</v>
      </c>
      <c r="D149" s="4" t="s">
        <v>166</v>
      </c>
      <c r="E149" s="6">
        <v>8736</v>
      </c>
      <c r="F149" s="7">
        <f t="shared" si="6"/>
        <v>39.709090909090911</v>
      </c>
      <c r="G149" s="16">
        <v>2.5</v>
      </c>
      <c r="H149" s="16">
        <v>2.5</v>
      </c>
      <c r="I149" s="16">
        <v>2.5</v>
      </c>
      <c r="J149" s="17">
        <v>50</v>
      </c>
    </row>
    <row r="150" spans="1:10" x14ac:dyDescent="0.25">
      <c r="A150" s="4"/>
      <c r="B150" s="4"/>
      <c r="C150" s="5"/>
      <c r="D150" s="4"/>
      <c r="E150" s="6"/>
      <c r="F150" s="7"/>
      <c r="G150" s="16"/>
      <c r="H150" s="16"/>
      <c r="I150" s="16"/>
      <c r="J150" s="17"/>
    </row>
    <row r="151" spans="1:10" x14ac:dyDescent="0.25">
      <c r="A151" s="4"/>
      <c r="B151" s="4"/>
      <c r="C151" s="5"/>
      <c r="D151" s="4"/>
      <c r="E151" s="6"/>
      <c r="F151" s="7"/>
      <c r="G151" s="16"/>
      <c r="H151" s="16"/>
      <c r="I151" s="16"/>
      <c r="J151" s="17"/>
    </row>
    <row r="152" spans="1:10" x14ac:dyDescent="0.25">
      <c r="A152" s="1" t="s">
        <v>167</v>
      </c>
      <c r="B152" s="1" t="s">
        <v>1</v>
      </c>
      <c r="C152" s="2" t="s">
        <v>178</v>
      </c>
      <c r="D152" s="2" t="s">
        <v>2</v>
      </c>
      <c r="E152" s="2" t="s">
        <v>3</v>
      </c>
      <c r="F152" s="3" t="s">
        <v>4</v>
      </c>
      <c r="G152" s="14" t="s">
        <v>179</v>
      </c>
      <c r="H152" s="1" t="s">
        <v>180</v>
      </c>
      <c r="I152" s="15" t="s">
        <v>181</v>
      </c>
      <c r="J152" s="1" t="s">
        <v>182</v>
      </c>
    </row>
    <row r="153" spans="1:10" x14ac:dyDescent="0.25">
      <c r="A153" s="4" t="s">
        <v>69</v>
      </c>
      <c r="B153" s="4">
        <v>1</v>
      </c>
      <c r="C153" s="5" t="s">
        <v>183</v>
      </c>
      <c r="D153" s="4" t="s">
        <v>168</v>
      </c>
      <c r="E153" s="6">
        <v>8736</v>
      </c>
      <c r="F153" s="7">
        <f t="shared" ref="F153:F162" si="7">E153/220</f>
        <v>39.709090909090911</v>
      </c>
      <c r="G153" s="16">
        <v>2.5</v>
      </c>
      <c r="H153" s="16">
        <v>2.5</v>
      </c>
      <c r="I153" s="16">
        <v>2.5</v>
      </c>
      <c r="J153" s="17">
        <v>50</v>
      </c>
    </row>
    <row r="154" spans="1:10" x14ac:dyDescent="0.25">
      <c r="A154" s="4" t="s">
        <v>72</v>
      </c>
      <c r="B154" s="4">
        <v>1</v>
      </c>
      <c r="C154" s="5" t="s">
        <v>183</v>
      </c>
      <c r="D154" s="4" t="s">
        <v>169</v>
      </c>
      <c r="E154" s="6">
        <v>2200</v>
      </c>
      <c r="F154" s="7">
        <f t="shared" si="7"/>
        <v>10</v>
      </c>
      <c r="G154" s="16">
        <v>2.5</v>
      </c>
      <c r="H154" s="16">
        <v>2.5</v>
      </c>
      <c r="I154" s="16">
        <v>2.5</v>
      </c>
      <c r="J154" s="17">
        <v>12</v>
      </c>
    </row>
    <row r="155" spans="1:10" x14ac:dyDescent="0.25">
      <c r="A155" s="4" t="s">
        <v>72</v>
      </c>
      <c r="B155" s="4">
        <v>1</v>
      </c>
      <c r="C155" s="5" t="s">
        <v>183</v>
      </c>
      <c r="D155" s="4" t="s">
        <v>170</v>
      </c>
      <c r="E155" s="6">
        <v>2200</v>
      </c>
      <c r="F155" s="7">
        <f t="shared" si="7"/>
        <v>10</v>
      </c>
      <c r="G155" s="16">
        <v>2.5</v>
      </c>
      <c r="H155" s="16">
        <v>2.5</v>
      </c>
      <c r="I155" s="16">
        <v>2.5</v>
      </c>
      <c r="J155" s="17">
        <v>12</v>
      </c>
    </row>
    <row r="156" spans="1:10" x14ac:dyDescent="0.25">
      <c r="A156" s="4" t="s">
        <v>72</v>
      </c>
      <c r="B156" s="4">
        <v>1</v>
      </c>
      <c r="C156" s="5" t="s">
        <v>183</v>
      </c>
      <c r="D156" s="4" t="s">
        <v>171</v>
      </c>
      <c r="E156" s="6">
        <v>2200</v>
      </c>
      <c r="F156" s="7">
        <f t="shared" si="7"/>
        <v>10</v>
      </c>
      <c r="G156" s="16">
        <v>2.5</v>
      </c>
      <c r="H156" s="16">
        <v>2.5</v>
      </c>
      <c r="I156" s="16">
        <v>2.5</v>
      </c>
      <c r="J156" s="17">
        <v>12</v>
      </c>
    </row>
    <row r="157" spans="1:10" x14ac:dyDescent="0.25">
      <c r="A157" s="4" t="s">
        <v>72</v>
      </c>
      <c r="B157" s="4">
        <v>1</v>
      </c>
      <c r="C157" s="5" t="s">
        <v>183</v>
      </c>
      <c r="D157" s="4" t="s">
        <v>172</v>
      </c>
      <c r="E157" s="6">
        <v>2200</v>
      </c>
      <c r="F157" s="7">
        <f t="shared" si="7"/>
        <v>10</v>
      </c>
      <c r="G157" s="16">
        <v>2.5</v>
      </c>
      <c r="H157" s="16">
        <v>2.5</v>
      </c>
      <c r="I157" s="16">
        <v>2.5</v>
      </c>
      <c r="J157" s="17">
        <v>12</v>
      </c>
    </row>
    <row r="158" spans="1:10" x14ac:dyDescent="0.25">
      <c r="A158" s="4" t="s">
        <v>72</v>
      </c>
      <c r="B158" s="4">
        <v>1</v>
      </c>
      <c r="C158" s="5" t="s">
        <v>183</v>
      </c>
      <c r="D158" s="4" t="s">
        <v>173</v>
      </c>
      <c r="E158" s="6">
        <v>2200</v>
      </c>
      <c r="F158" s="7">
        <f t="shared" si="7"/>
        <v>10</v>
      </c>
      <c r="G158" s="16">
        <v>2.5</v>
      </c>
      <c r="H158" s="16">
        <v>2.5</v>
      </c>
      <c r="I158" s="16">
        <v>2.5</v>
      </c>
      <c r="J158" s="17">
        <v>12</v>
      </c>
    </row>
    <row r="159" spans="1:10" x14ac:dyDescent="0.25">
      <c r="A159" s="4" t="s">
        <v>72</v>
      </c>
      <c r="B159" s="4">
        <v>1</v>
      </c>
      <c r="C159" s="5" t="s">
        <v>183</v>
      </c>
      <c r="D159" s="4" t="s">
        <v>174</v>
      </c>
      <c r="E159" s="6">
        <v>2200</v>
      </c>
      <c r="F159" s="7">
        <f t="shared" si="7"/>
        <v>10</v>
      </c>
      <c r="G159" s="16">
        <v>2.5</v>
      </c>
      <c r="H159" s="16">
        <v>2.5</v>
      </c>
      <c r="I159" s="16">
        <v>2.5</v>
      </c>
      <c r="J159" s="17">
        <v>12</v>
      </c>
    </row>
    <row r="160" spans="1:10" x14ac:dyDescent="0.25">
      <c r="A160" s="4" t="s">
        <v>72</v>
      </c>
      <c r="B160" s="4">
        <v>1</v>
      </c>
      <c r="C160" s="5" t="s">
        <v>183</v>
      </c>
      <c r="D160" s="4" t="s">
        <v>175</v>
      </c>
      <c r="E160" s="6">
        <v>2200</v>
      </c>
      <c r="F160" s="7">
        <f t="shared" si="7"/>
        <v>10</v>
      </c>
      <c r="G160" s="16">
        <v>2.5</v>
      </c>
      <c r="H160" s="16">
        <v>2.5</v>
      </c>
      <c r="I160" s="16">
        <v>2.5</v>
      </c>
      <c r="J160" s="17">
        <v>12</v>
      </c>
    </row>
    <row r="161" spans="1:10" x14ac:dyDescent="0.25">
      <c r="A161" s="4" t="s">
        <v>72</v>
      </c>
      <c r="B161" s="4">
        <v>1</v>
      </c>
      <c r="C161" s="5" t="s">
        <v>183</v>
      </c>
      <c r="D161" s="4" t="s">
        <v>176</v>
      </c>
      <c r="E161" s="6">
        <v>2200</v>
      </c>
      <c r="F161" s="7">
        <f t="shared" si="7"/>
        <v>10</v>
      </c>
      <c r="G161" s="16">
        <v>2.5</v>
      </c>
      <c r="H161" s="16">
        <v>2.5</v>
      </c>
      <c r="I161" s="16">
        <v>2.5</v>
      </c>
      <c r="J161" s="17">
        <v>12</v>
      </c>
    </row>
    <row r="162" spans="1:10" x14ac:dyDescent="0.25">
      <c r="A162" s="4" t="s">
        <v>72</v>
      </c>
      <c r="B162" s="4">
        <v>1</v>
      </c>
      <c r="C162" s="5" t="s">
        <v>183</v>
      </c>
      <c r="D162" s="4" t="s">
        <v>177</v>
      </c>
      <c r="E162" s="6">
        <v>2200</v>
      </c>
      <c r="F162" s="7">
        <f t="shared" si="7"/>
        <v>10</v>
      </c>
      <c r="G162" s="16">
        <v>2.5</v>
      </c>
      <c r="H162" s="16">
        <v>2.5</v>
      </c>
      <c r="I162" s="16">
        <v>2.5</v>
      </c>
      <c r="J162" s="17">
        <v>12</v>
      </c>
    </row>
    <row r="163" spans="1:10" x14ac:dyDescent="0.25">
      <c r="G163" s="16"/>
    </row>
    <row r="164" spans="1:10" x14ac:dyDescent="0.25">
      <c r="G164" s="16"/>
    </row>
    <row r="165" spans="1:10" x14ac:dyDescent="0.25">
      <c r="G165" s="16"/>
    </row>
    <row r="166" spans="1:10" x14ac:dyDescent="0.25">
      <c r="G166" s="16"/>
    </row>
    <row r="167" spans="1:10" x14ac:dyDescent="0.25">
      <c r="G167" s="16"/>
    </row>
    <row r="168" spans="1:10" x14ac:dyDescent="0.25">
      <c r="G168" s="16"/>
    </row>
    <row r="169" spans="1:10" x14ac:dyDescent="0.25">
      <c r="G169" s="16"/>
    </row>
    <row r="170" spans="1:10" x14ac:dyDescent="0.25">
      <c r="G170" s="16"/>
    </row>
    <row r="171" spans="1:10" x14ac:dyDescent="0.25">
      <c r="G171" s="16"/>
    </row>
    <row r="172" spans="1:10" x14ac:dyDescent="0.25">
      <c r="G172" s="16"/>
    </row>
    <row r="173" spans="1:10" x14ac:dyDescent="0.25">
      <c r="G173" s="16"/>
    </row>
    <row r="174" spans="1:10" x14ac:dyDescent="0.25">
      <c r="G174" s="16"/>
    </row>
    <row r="175" spans="1:10" x14ac:dyDescent="0.25">
      <c r="G175" s="16"/>
    </row>
    <row r="176" spans="1:10" x14ac:dyDescent="0.25">
      <c r="G176" s="16"/>
    </row>
    <row r="177" spans="7:7" x14ac:dyDescent="0.25">
      <c r="G177" s="16"/>
    </row>
    <row r="178" spans="7:7" x14ac:dyDescent="0.25">
      <c r="G178" s="16"/>
    </row>
    <row r="179" spans="7:7" x14ac:dyDescent="0.25">
      <c r="G179" s="16"/>
    </row>
    <row r="180" spans="7:7" x14ac:dyDescent="0.25">
      <c r="G180" s="16"/>
    </row>
    <row r="181" spans="7:7" x14ac:dyDescent="0.25">
      <c r="G181" s="16"/>
    </row>
    <row r="182" spans="7:7" x14ac:dyDescent="0.25">
      <c r="G182" s="16"/>
    </row>
    <row r="183" spans="7:7" x14ac:dyDescent="0.25">
      <c r="G183" s="16"/>
    </row>
    <row r="184" spans="7:7" x14ac:dyDescent="0.25">
      <c r="G184" s="16"/>
    </row>
    <row r="185" spans="7:7" x14ac:dyDescent="0.25">
      <c r="G185" s="16"/>
    </row>
    <row r="186" spans="7:7" x14ac:dyDescent="0.25">
      <c r="G186" s="16"/>
    </row>
    <row r="187" spans="7:7" x14ac:dyDescent="0.25">
      <c r="G187" s="16"/>
    </row>
    <row r="188" spans="7:7" x14ac:dyDescent="0.25">
      <c r="G188" s="16"/>
    </row>
    <row r="189" spans="7:7" x14ac:dyDescent="0.25">
      <c r="G189" s="16"/>
    </row>
    <row r="190" spans="7:7" x14ac:dyDescent="0.25">
      <c r="G190" s="16"/>
    </row>
    <row r="191" spans="7:7" x14ac:dyDescent="0.25">
      <c r="G191" s="16"/>
    </row>
    <row r="192" spans="7:7" x14ac:dyDescent="0.25">
      <c r="G192" s="16"/>
    </row>
    <row r="193" spans="7:7" x14ac:dyDescent="0.25">
      <c r="G193" s="16"/>
    </row>
    <row r="194" spans="7:7" x14ac:dyDescent="0.25">
      <c r="G194" s="16"/>
    </row>
    <row r="195" spans="7:7" x14ac:dyDescent="0.25">
      <c r="G195" s="16"/>
    </row>
    <row r="196" spans="7:7" x14ac:dyDescent="0.25">
      <c r="G196" s="16"/>
    </row>
    <row r="197" spans="7:7" x14ac:dyDescent="0.25">
      <c r="G197" s="16"/>
    </row>
    <row r="198" spans="7:7" x14ac:dyDescent="0.25">
      <c r="G198" s="16"/>
    </row>
    <row r="199" spans="7:7" x14ac:dyDescent="0.25">
      <c r="G199" s="16"/>
    </row>
    <row r="200" spans="7:7" x14ac:dyDescent="0.25">
      <c r="G200" s="16"/>
    </row>
    <row r="201" spans="7:7" x14ac:dyDescent="0.25">
      <c r="G201" s="16"/>
    </row>
    <row r="202" spans="7:7" x14ac:dyDescent="0.25">
      <c r="G202" s="16"/>
    </row>
    <row r="203" spans="7:7" x14ac:dyDescent="0.25">
      <c r="G203" s="16"/>
    </row>
    <row r="204" spans="7:7" x14ac:dyDescent="0.25">
      <c r="G204" s="16"/>
    </row>
    <row r="205" spans="7:7" x14ac:dyDescent="0.25">
      <c r="G205" s="16"/>
    </row>
    <row r="206" spans="7:7" x14ac:dyDescent="0.25">
      <c r="G206" s="16"/>
    </row>
    <row r="207" spans="7:7" x14ac:dyDescent="0.25">
      <c r="G207" s="16"/>
    </row>
    <row r="208" spans="7:7" x14ac:dyDescent="0.25">
      <c r="G208" s="16"/>
    </row>
    <row r="209" spans="7:7" x14ac:dyDescent="0.25">
      <c r="G209" s="16"/>
    </row>
    <row r="210" spans="7:7" x14ac:dyDescent="0.25">
      <c r="G210" s="16"/>
    </row>
    <row r="211" spans="7:7" x14ac:dyDescent="0.25">
      <c r="G211" s="16"/>
    </row>
    <row r="212" spans="7:7" x14ac:dyDescent="0.25">
      <c r="G212" s="16"/>
    </row>
    <row r="213" spans="7:7" x14ac:dyDescent="0.25">
      <c r="G213" s="16"/>
    </row>
    <row r="214" spans="7:7" x14ac:dyDescent="0.25">
      <c r="G214" s="16"/>
    </row>
    <row r="215" spans="7:7" x14ac:dyDescent="0.25">
      <c r="G215" s="16"/>
    </row>
    <row r="216" spans="7:7" x14ac:dyDescent="0.25">
      <c r="G216" s="16"/>
    </row>
    <row r="217" spans="7:7" x14ac:dyDescent="0.25">
      <c r="G217" s="16"/>
    </row>
    <row r="218" spans="7:7" x14ac:dyDescent="0.25">
      <c r="G218" s="16"/>
    </row>
    <row r="219" spans="7:7" x14ac:dyDescent="0.25">
      <c r="G219" s="16"/>
    </row>
    <row r="220" spans="7:7" x14ac:dyDescent="0.25">
      <c r="G220" s="16"/>
    </row>
    <row r="221" spans="7:7" x14ac:dyDescent="0.25">
      <c r="G221" s="16"/>
    </row>
    <row r="222" spans="7:7" x14ac:dyDescent="0.25">
      <c r="G222" s="16"/>
    </row>
    <row r="223" spans="7:7" x14ac:dyDescent="0.25">
      <c r="G223" s="16"/>
    </row>
    <row r="224" spans="7:7" x14ac:dyDescent="0.25">
      <c r="G224" s="16"/>
    </row>
    <row r="225" spans="7:7" x14ac:dyDescent="0.25">
      <c r="G225" s="16"/>
    </row>
    <row r="226" spans="7:7" x14ac:dyDescent="0.25">
      <c r="G226" s="16"/>
    </row>
    <row r="227" spans="7:7" x14ac:dyDescent="0.25">
      <c r="G227" s="16"/>
    </row>
    <row r="228" spans="7:7" x14ac:dyDescent="0.25">
      <c r="G228" s="16"/>
    </row>
    <row r="229" spans="7:7" x14ac:dyDescent="0.25">
      <c r="G229" s="16"/>
    </row>
    <row r="230" spans="7:7" x14ac:dyDescent="0.25">
      <c r="G230" s="16"/>
    </row>
    <row r="231" spans="7:7" x14ac:dyDescent="0.25">
      <c r="G231" s="16"/>
    </row>
    <row r="232" spans="7:7" x14ac:dyDescent="0.25">
      <c r="G232" s="16"/>
    </row>
    <row r="233" spans="7:7" x14ac:dyDescent="0.25">
      <c r="G233" s="16"/>
    </row>
    <row r="234" spans="7:7" x14ac:dyDescent="0.25">
      <c r="G234" s="16"/>
    </row>
    <row r="235" spans="7:7" x14ac:dyDescent="0.25">
      <c r="G235" s="16"/>
    </row>
    <row r="236" spans="7:7" x14ac:dyDescent="0.25">
      <c r="G236" s="16"/>
    </row>
    <row r="237" spans="7:7" x14ac:dyDescent="0.25">
      <c r="G237" s="16"/>
    </row>
    <row r="238" spans="7:7" x14ac:dyDescent="0.25">
      <c r="G238" s="16"/>
    </row>
    <row r="239" spans="7:7" x14ac:dyDescent="0.25">
      <c r="G239" s="16"/>
    </row>
    <row r="240" spans="7:7" x14ac:dyDescent="0.25">
      <c r="G240" s="16"/>
    </row>
    <row r="241" spans="7:7" x14ac:dyDescent="0.25">
      <c r="G241" s="16"/>
    </row>
    <row r="242" spans="7:7" x14ac:dyDescent="0.25">
      <c r="G242" s="16"/>
    </row>
    <row r="243" spans="7:7" x14ac:dyDescent="0.25">
      <c r="G243" s="16"/>
    </row>
    <row r="244" spans="7:7" x14ac:dyDescent="0.25">
      <c r="G244" s="16"/>
    </row>
    <row r="245" spans="7:7" x14ac:dyDescent="0.25">
      <c r="G245" s="16"/>
    </row>
    <row r="246" spans="7:7" x14ac:dyDescent="0.25">
      <c r="G246" s="16"/>
    </row>
    <row r="247" spans="7:7" x14ac:dyDescent="0.25">
      <c r="G247" s="16"/>
    </row>
    <row r="248" spans="7:7" x14ac:dyDescent="0.25">
      <c r="G248" s="16"/>
    </row>
    <row r="249" spans="7:7" x14ac:dyDescent="0.25">
      <c r="G249" s="16"/>
    </row>
    <row r="250" spans="7:7" x14ac:dyDescent="0.25">
      <c r="G250" s="16"/>
    </row>
    <row r="251" spans="7:7" x14ac:dyDescent="0.25">
      <c r="G251" s="16"/>
    </row>
    <row r="252" spans="7:7" x14ac:dyDescent="0.25">
      <c r="G252" s="16"/>
    </row>
    <row r="253" spans="7:7" x14ac:dyDescent="0.25">
      <c r="G253" s="16"/>
    </row>
    <row r="254" spans="7:7" x14ac:dyDescent="0.25">
      <c r="G254" s="16"/>
    </row>
    <row r="255" spans="7:7" x14ac:dyDescent="0.25">
      <c r="G255" s="16"/>
    </row>
    <row r="256" spans="7:7" x14ac:dyDescent="0.25">
      <c r="G256" s="16"/>
    </row>
    <row r="257" spans="7:7" x14ac:dyDescent="0.25">
      <c r="G257" s="16"/>
    </row>
    <row r="258" spans="7:7" x14ac:dyDescent="0.25">
      <c r="G258" s="16"/>
    </row>
    <row r="259" spans="7:7" x14ac:dyDescent="0.25">
      <c r="G259" s="16"/>
    </row>
    <row r="260" spans="7:7" x14ac:dyDescent="0.25">
      <c r="G260" s="16"/>
    </row>
    <row r="261" spans="7:7" x14ac:dyDescent="0.25">
      <c r="G261" s="16"/>
    </row>
    <row r="262" spans="7:7" x14ac:dyDescent="0.25">
      <c r="G262" s="16"/>
    </row>
    <row r="263" spans="7:7" x14ac:dyDescent="0.25">
      <c r="G263" s="16"/>
    </row>
    <row r="264" spans="7:7" x14ac:dyDescent="0.25">
      <c r="G264" s="16"/>
    </row>
    <row r="265" spans="7:7" x14ac:dyDescent="0.25">
      <c r="G265" s="16"/>
    </row>
    <row r="266" spans="7:7" x14ac:dyDescent="0.25">
      <c r="G266" s="16"/>
    </row>
    <row r="267" spans="7:7" x14ac:dyDescent="0.25">
      <c r="G267" s="16"/>
    </row>
    <row r="268" spans="7:7" x14ac:dyDescent="0.25">
      <c r="G268" s="16"/>
    </row>
    <row r="269" spans="7:7" x14ac:dyDescent="0.25">
      <c r="G269" s="16"/>
    </row>
    <row r="270" spans="7:7" x14ac:dyDescent="0.25">
      <c r="G270" s="16"/>
    </row>
    <row r="271" spans="7:7" x14ac:dyDescent="0.25">
      <c r="G271" s="16"/>
    </row>
    <row r="272" spans="7:7" x14ac:dyDescent="0.25">
      <c r="G272" s="16"/>
    </row>
    <row r="273" spans="7:7" x14ac:dyDescent="0.25">
      <c r="G273" s="16"/>
    </row>
    <row r="274" spans="7:7" x14ac:dyDescent="0.25">
      <c r="G274" s="16"/>
    </row>
    <row r="275" spans="7:7" x14ac:dyDescent="0.25">
      <c r="G275" s="16"/>
    </row>
    <row r="276" spans="7:7" x14ac:dyDescent="0.25">
      <c r="G276" s="16"/>
    </row>
    <row r="277" spans="7:7" x14ac:dyDescent="0.25">
      <c r="G277" s="16"/>
    </row>
    <row r="278" spans="7:7" x14ac:dyDescent="0.25">
      <c r="G278" s="16"/>
    </row>
    <row r="279" spans="7:7" x14ac:dyDescent="0.25">
      <c r="G279" s="16"/>
    </row>
    <row r="280" spans="7:7" x14ac:dyDescent="0.25">
      <c r="G280" s="16"/>
    </row>
    <row r="281" spans="7:7" x14ac:dyDescent="0.25">
      <c r="G281" s="16"/>
    </row>
    <row r="282" spans="7:7" x14ac:dyDescent="0.25">
      <c r="G282" s="16"/>
    </row>
    <row r="283" spans="7:7" x14ac:dyDescent="0.25">
      <c r="G283" s="16"/>
    </row>
    <row r="284" spans="7:7" x14ac:dyDescent="0.25">
      <c r="G284" s="16"/>
    </row>
    <row r="285" spans="7:7" x14ac:dyDescent="0.25">
      <c r="G285" s="16"/>
    </row>
    <row r="286" spans="7:7" x14ac:dyDescent="0.25">
      <c r="G286" s="16"/>
    </row>
    <row r="287" spans="7:7" x14ac:dyDescent="0.25">
      <c r="G287" s="16"/>
    </row>
    <row r="288" spans="7:7" x14ac:dyDescent="0.25">
      <c r="G288" s="16"/>
    </row>
    <row r="289" spans="7:7" x14ac:dyDescent="0.25">
      <c r="G289" s="16"/>
    </row>
    <row r="290" spans="7:7" x14ac:dyDescent="0.25">
      <c r="G290" s="16"/>
    </row>
    <row r="291" spans="7:7" x14ac:dyDescent="0.25">
      <c r="G291" s="16"/>
    </row>
    <row r="292" spans="7:7" x14ac:dyDescent="0.25">
      <c r="G292" s="16"/>
    </row>
    <row r="293" spans="7:7" x14ac:dyDescent="0.25">
      <c r="G293" s="16"/>
    </row>
    <row r="294" spans="7:7" x14ac:dyDescent="0.25">
      <c r="G294" s="16"/>
    </row>
    <row r="295" spans="7:7" x14ac:dyDescent="0.25">
      <c r="G295" s="16"/>
    </row>
    <row r="296" spans="7:7" x14ac:dyDescent="0.25">
      <c r="G296" s="16"/>
    </row>
    <row r="297" spans="7:7" x14ac:dyDescent="0.25">
      <c r="G297" s="16"/>
    </row>
    <row r="298" spans="7:7" x14ac:dyDescent="0.25">
      <c r="G298" s="16"/>
    </row>
    <row r="299" spans="7:7" x14ac:dyDescent="0.25">
      <c r="G299" s="16"/>
    </row>
    <row r="300" spans="7:7" x14ac:dyDescent="0.25">
      <c r="G300" s="16"/>
    </row>
    <row r="301" spans="7:7" x14ac:dyDescent="0.25">
      <c r="G301" s="16"/>
    </row>
    <row r="302" spans="7:7" x14ac:dyDescent="0.25">
      <c r="G302" s="16"/>
    </row>
    <row r="303" spans="7:7" x14ac:dyDescent="0.25">
      <c r="G303" s="16"/>
    </row>
    <row r="304" spans="7:7" x14ac:dyDescent="0.25">
      <c r="G304" s="16"/>
    </row>
    <row r="305" spans="7:7" x14ac:dyDescent="0.25">
      <c r="G305" s="16"/>
    </row>
    <row r="306" spans="7:7" x14ac:dyDescent="0.25">
      <c r="G306" s="16"/>
    </row>
    <row r="307" spans="7:7" x14ac:dyDescent="0.25">
      <c r="G307" s="16"/>
    </row>
    <row r="308" spans="7:7" x14ac:dyDescent="0.25">
      <c r="G308" s="16"/>
    </row>
    <row r="309" spans="7:7" x14ac:dyDescent="0.25">
      <c r="G309" s="16"/>
    </row>
    <row r="310" spans="7:7" x14ac:dyDescent="0.25">
      <c r="G310" s="16"/>
    </row>
    <row r="311" spans="7:7" x14ac:dyDescent="0.25">
      <c r="G311" s="16"/>
    </row>
    <row r="312" spans="7:7" x14ac:dyDescent="0.25">
      <c r="G312" s="16"/>
    </row>
    <row r="313" spans="7:7" x14ac:dyDescent="0.25">
      <c r="G313" s="16"/>
    </row>
    <row r="314" spans="7:7" x14ac:dyDescent="0.25">
      <c r="G314" s="16"/>
    </row>
    <row r="315" spans="7:7" x14ac:dyDescent="0.25">
      <c r="G315" s="16"/>
    </row>
    <row r="316" spans="7:7" x14ac:dyDescent="0.25">
      <c r="G316" s="16"/>
    </row>
    <row r="317" spans="7:7" x14ac:dyDescent="0.25">
      <c r="G317" s="16"/>
    </row>
    <row r="318" spans="7:7" x14ac:dyDescent="0.25">
      <c r="G318" s="16"/>
    </row>
    <row r="319" spans="7:7" x14ac:dyDescent="0.25">
      <c r="G319" s="16"/>
    </row>
    <row r="320" spans="7:7" x14ac:dyDescent="0.25">
      <c r="G320" s="16"/>
    </row>
    <row r="321" spans="7:7" x14ac:dyDescent="0.25">
      <c r="G321" s="16"/>
    </row>
    <row r="322" spans="7:7" x14ac:dyDescent="0.25">
      <c r="G322" s="16"/>
    </row>
    <row r="323" spans="7:7" x14ac:dyDescent="0.25">
      <c r="G323" s="16"/>
    </row>
    <row r="324" spans="7:7" x14ac:dyDescent="0.25">
      <c r="G324" s="16"/>
    </row>
    <row r="325" spans="7:7" x14ac:dyDescent="0.25">
      <c r="G325" s="16"/>
    </row>
    <row r="326" spans="7:7" x14ac:dyDescent="0.25">
      <c r="G326" s="16"/>
    </row>
    <row r="327" spans="7:7" x14ac:dyDescent="0.25">
      <c r="G327" s="16"/>
    </row>
    <row r="328" spans="7:7" x14ac:dyDescent="0.25">
      <c r="G328" s="16"/>
    </row>
    <row r="329" spans="7:7" x14ac:dyDescent="0.25">
      <c r="G329" s="16"/>
    </row>
    <row r="330" spans="7:7" x14ac:dyDescent="0.25">
      <c r="G330" s="16"/>
    </row>
    <row r="331" spans="7:7" x14ac:dyDescent="0.25">
      <c r="G331" s="16"/>
    </row>
    <row r="332" spans="7:7" x14ac:dyDescent="0.25">
      <c r="G332" s="16"/>
    </row>
    <row r="333" spans="7:7" x14ac:dyDescent="0.25">
      <c r="G333" s="16"/>
    </row>
    <row r="334" spans="7:7" x14ac:dyDescent="0.25">
      <c r="G334" s="16"/>
    </row>
    <row r="335" spans="7:7" x14ac:dyDescent="0.25">
      <c r="G335" s="16"/>
    </row>
    <row r="336" spans="7:7" x14ac:dyDescent="0.25">
      <c r="G336" s="16"/>
    </row>
    <row r="337" spans="7:7" x14ac:dyDescent="0.25">
      <c r="G337" s="16"/>
    </row>
    <row r="338" spans="7:7" x14ac:dyDescent="0.25">
      <c r="G338" s="16"/>
    </row>
    <row r="339" spans="7:7" x14ac:dyDescent="0.25">
      <c r="G339" s="16"/>
    </row>
    <row r="340" spans="7:7" x14ac:dyDescent="0.25">
      <c r="G340" s="16"/>
    </row>
    <row r="341" spans="7:7" x14ac:dyDescent="0.25">
      <c r="G341" s="16"/>
    </row>
    <row r="342" spans="7:7" x14ac:dyDescent="0.25">
      <c r="G342" s="16"/>
    </row>
    <row r="343" spans="7:7" x14ac:dyDescent="0.25">
      <c r="G343" s="16"/>
    </row>
    <row r="344" spans="7:7" x14ac:dyDescent="0.25">
      <c r="G344" s="16"/>
    </row>
    <row r="345" spans="7:7" x14ac:dyDescent="0.25">
      <c r="G345" s="16"/>
    </row>
    <row r="346" spans="7:7" x14ac:dyDescent="0.25">
      <c r="G346" s="16"/>
    </row>
    <row r="347" spans="7:7" x14ac:dyDescent="0.25">
      <c r="G347" s="16"/>
    </row>
    <row r="348" spans="7:7" x14ac:dyDescent="0.25">
      <c r="G348" s="16"/>
    </row>
    <row r="349" spans="7:7" x14ac:dyDescent="0.25">
      <c r="G349" s="16"/>
    </row>
    <row r="350" spans="7:7" x14ac:dyDescent="0.25">
      <c r="G350" s="16"/>
    </row>
    <row r="351" spans="7:7" x14ac:dyDescent="0.25">
      <c r="G351" s="16"/>
    </row>
    <row r="352" spans="7:7" x14ac:dyDescent="0.25">
      <c r="G352" s="16"/>
    </row>
    <row r="353" spans="7:7" x14ac:dyDescent="0.25">
      <c r="G353" s="16"/>
    </row>
    <row r="354" spans="7:7" x14ac:dyDescent="0.25">
      <c r="G354" s="16"/>
    </row>
    <row r="355" spans="7:7" x14ac:dyDescent="0.25">
      <c r="G355" s="16"/>
    </row>
    <row r="356" spans="7:7" x14ac:dyDescent="0.25">
      <c r="G356" s="16"/>
    </row>
    <row r="357" spans="7:7" x14ac:dyDescent="0.25">
      <c r="G357" s="16"/>
    </row>
    <row r="358" spans="7:7" x14ac:dyDescent="0.25">
      <c r="G358" s="16"/>
    </row>
    <row r="359" spans="7:7" x14ac:dyDescent="0.25">
      <c r="G359" s="16"/>
    </row>
    <row r="360" spans="7:7" x14ac:dyDescent="0.25">
      <c r="G360" s="16"/>
    </row>
    <row r="361" spans="7:7" x14ac:dyDescent="0.25">
      <c r="G361" s="16"/>
    </row>
    <row r="362" spans="7:7" x14ac:dyDescent="0.25">
      <c r="G362" s="16"/>
    </row>
    <row r="363" spans="7:7" x14ac:dyDescent="0.25">
      <c r="G363" s="16"/>
    </row>
    <row r="364" spans="7:7" x14ac:dyDescent="0.25">
      <c r="G364" s="16"/>
    </row>
    <row r="365" spans="7:7" x14ac:dyDescent="0.25">
      <c r="G365" s="16"/>
    </row>
    <row r="366" spans="7:7" x14ac:dyDescent="0.25">
      <c r="G366" s="16"/>
    </row>
    <row r="367" spans="7:7" x14ac:dyDescent="0.25">
      <c r="G367" s="16"/>
    </row>
    <row r="368" spans="7:7" x14ac:dyDescent="0.25">
      <c r="G368" s="16"/>
    </row>
    <row r="369" spans="7:7" x14ac:dyDescent="0.25">
      <c r="G369" s="16"/>
    </row>
    <row r="370" spans="7:7" x14ac:dyDescent="0.25">
      <c r="G370" s="16"/>
    </row>
    <row r="371" spans="7:7" x14ac:dyDescent="0.25">
      <c r="G371" s="16"/>
    </row>
    <row r="372" spans="7:7" x14ac:dyDescent="0.25">
      <c r="G372" s="16"/>
    </row>
    <row r="373" spans="7:7" x14ac:dyDescent="0.25">
      <c r="G373" s="16"/>
    </row>
    <row r="374" spans="7:7" x14ac:dyDescent="0.25">
      <c r="G374" s="16"/>
    </row>
    <row r="375" spans="7:7" x14ac:dyDescent="0.25">
      <c r="G375" s="16"/>
    </row>
    <row r="376" spans="7:7" x14ac:dyDescent="0.25">
      <c r="G376" s="16"/>
    </row>
    <row r="377" spans="7:7" x14ac:dyDescent="0.25">
      <c r="G377" s="16"/>
    </row>
    <row r="378" spans="7:7" x14ac:dyDescent="0.25">
      <c r="G378" s="16"/>
    </row>
    <row r="379" spans="7:7" x14ac:dyDescent="0.25">
      <c r="G379" s="16"/>
    </row>
    <row r="380" spans="7:7" x14ac:dyDescent="0.25">
      <c r="G380" s="16"/>
    </row>
    <row r="381" spans="7:7" x14ac:dyDescent="0.25">
      <c r="G381" s="16"/>
    </row>
    <row r="382" spans="7:7" x14ac:dyDescent="0.25">
      <c r="G382" s="16"/>
    </row>
    <row r="383" spans="7:7" x14ac:dyDescent="0.25">
      <c r="G383" s="16"/>
    </row>
    <row r="384" spans="7:7" x14ac:dyDescent="0.25">
      <c r="G384" s="16"/>
    </row>
    <row r="385" spans="7:7" x14ac:dyDescent="0.25">
      <c r="G385" s="16"/>
    </row>
    <row r="386" spans="7:7" x14ac:dyDescent="0.25">
      <c r="G386" s="16"/>
    </row>
    <row r="387" spans="7:7" x14ac:dyDescent="0.25">
      <c r="G387" s="16"/>
    </row>
    <row r="388" spans="7:7" x14ac:dyDescent="0.25">
      <c r="G388" s="16"/>
    </row>
    <row r="389" spans="7:7" x14ac:dyDescent="0.25">
      <c r="G389" s="16"/>
    </row>
    <row r="390" spans="7:7" x14ac:dyDescent="0.25">
      <c r="G390" s="16"/>
    </row>
    <row r="391" spans="7:7" x14ac:dyDescent="0.25">
      <c r="G391" s="16"/>
    </row>
    <row r="392" spans="7:7" x14ac:dyDescent="0.25">
      <c r="G392" s="16"/>
    </row>
    <row r="393" spans="7:7" x14ac:dyDescent="0.25">
      <c r="G393" s="16"/>
    </row>
    <row r="394" spans="7:7" x14ac:dyDescent="0.25">
      <c r="G394" s="16"/>
    </row>
    <row r="395" spans="7:7" x14ac:dyDescent="0.25">
      <c r="G395" s="16"/>
    </row>
    <row r="396" spans="7:7" x14ac:dyDescent="0.25">
      <c r="G396" s="16"/>
    </row>
    <row r="397" spans="7:7" x14ac:dyDescent="0.25">
      <c r="G397" s="16"/>
    </row>
    <row r="398" spans="7:7" x14ac:dyDescent="0.25">
      <c r="G398" s="16"/>
    </row>
    <row r="399" spans="7:7" x14ac:dyDescent="0.25">
      <c r="G399" s="16"/>
    </row>
    <row r="400" spans="7:7" x14ac:dyDescent="0.25">
      <c r="G400" s="16"/>
    </row>
    <row r="401" spans="7:7" x14ac:dyDescent="0.25">
      <c r="G401" s="16"/>
    </row>
    <row r="402" spans="7:7" x14ac:dyDescent="0.25">
      <c r="G402" s="16"/>
    </row>
    <row r="403" spans="7:7" x14ac:dyDescent="0.25">
      <c r="G403" s="16"/>
    </row>
    <row r="404" spans="7:7" x14ac:dyDescent="0.25">
      <c r="G404" s="16"/>
    </row>
    <row r="405" spans="7:7" x14ac:dyDescent="0.25">
      <c r="G405" s="16"/>
    </row>
    <row r="406" spans="7:7" x14ac:dyDescent="0.25">
      <c r="G406" s="16"/>
    </row>
    <row r="407" spans="7:7" x14ac:dyDescent="0.25">
      <c r="G407" s="16"/>
    </row>
    <row r="408" spans="7:7" x14ac:dyDescent="0.25">
      <c r="G408" s="16"/>
    </row>
    <row r="409" spans="7:7" x14ac:dyDescent="0.25">
      <c r="G409" s="16"/>
    </row>
    <row r="410" spans="7:7" x14ac:dyDescent="0.25">
      <c r="G410" s="16"/>
    </row>
    <row r="411" spans="7:7" x14ac:dyDescent="0.25">
      <c r="G411" s="16"/>
    </row>
    <row r="412" spans="7:7" x14ac:dyDescent="0.25">
      <c r="G412" s="16"/>
    </row>
    <row r="413" spans="7:7" x14ac:dyDescent="0.25">
      <c r="G413" s="16"/>
    </row>
    <row r="414" spans="7:7" x14ac:dyDescent="0.25">
      <c r="G414" s="16"/>
    </row>
    <row r="415" spans="7:7" x14ac:dyDescent="0.25">
      <c r="G415" s="16"/>
    </row>
    <row r="416" spans="7:7" x14ac:dyDescent="0.25">
      <c r="G416" s="16"/>
    </row>
    <row r="417" spans="7:7" x14ac:dyDescent="0.25">
      <c r="G417" s="16"/>
    </row>
    <row r="418" spans="7:7" x14ac:dyDescent="0.25">
      <c r="G418" s="16"/>
    </row>
    <row r="419" spans="7:7" x14ac:dyDescent="0.25">
      <c r="G419" s="16"/>
    </row>
    <row r="420" spans="7:7" x14ac:dyDescent="0.25">
      <c r="G420" s="16"/>
    </row>
    <row r="421" spans="7:7" x14ac:dyDescent="0.25">
      <c r="G421" s="16"/>
    </row>
    <row r="422" spans="7:7" x14ac:dyDescent="0.25">
      <c r="G422" s="16"/>
    </row>
    <row r="423" spans="7:7" x14ac:dyDescent="0.25">
      <c r="G423" s="16"/>
    </row>
    <row r="424" spans="7:7" x14ac:dyDescent="0.25">
      <c r="G424" s="16"/>
    </row>
    <row r="425" spans="7:7" x14ac:dyDescent="0.25">
      <c r="G425" s="16"/>
    </row>
    <row r="426" spans="7:7" x14ac:dyDescent="0.25">
      <c r="G426" s="16"/>
    </row>
    <row r="427" spans="7:7" x14ac:dyDescent="0.25">
      <c r="G427" s="16"/>
    </row>
    <row r="428" spans="7:7" x14ac:dyDescent="0.25">
      <c r="G428" s="16"/>
    </row>
    <row r="429" spans="7:7" x14ac:dyDescent="0.25">
      <c r="G429" s="16"/>
    </row>
    <row r="430" spans="7:7" x14ac:dyDescent="0.25">
      <c r="G430" s="16"/>
    </row>
    <row r="431" spans="7:7" x14ac:dyDescent="0.25">
      <c r="G431" s="16"/>
    </row>
    <row r="432" spans="7:7" x14ac:dyDescent="0.25">
      <c r="G432" s="16"/>
    </row>
    <row r="433" spans="7:7" x14ac:dyDescent="0.25">
      <c r="G433" s="16"/>
    </row>
    <row r="434" spans="7:7" x14ac:dyDescent="0.25">
      <c r="G434" s="16"/>
    </row>
    <row r="435" spans="7:7" x14ac:dyDescent="0.25">
      <c r="G435" s="16"/>
    </row>
    <row r="436" spans="7:7" x14ac:dyDescent="0.25">
      <c r="G436" s="16"/>
    </row>
    <row r="437" spans="7:7" x14ac:dyDescent="0.25">
      <c r="G437" s="16"/>
    </row>
    <row r="438" spans="7:7" x14ac:dyDescent="0.25">
      <c r="G438" s="16"/>
    </row>
    <row r="439" spans="7:7" x14ac:dyDescent="0.25">
      <c r="G439" s="16"/>
    </row>
    <row r="440" spans="7:7" x14ac:dyDescent="0.25">
      <c r="G440" s="16"/>
    </row>
    <row r="441" spans="7:7" x14ac:dyDescent="0.25">
      <c r="G441" s="16"/>
    </row>
    <row r="442" spans="7:7" x14ac:dyDescent="0.25">
      <c r="G442" s="16"/>
    </row>
    <row r="443" spans="7:7" x14ac:dyDescent="0.25">
      <c r="G443" s="16"/>
    </row>
    <row r="444" spans="7:7" x14ac:dyDescent="0.25">
      <c r="G444" s="16"/>
    </row>
    <row r="445" spans="7:7" x14ac:dyDescent="0.25">
      <c r="G445" s="16"/>
    </row>
    <row r="446" spans="7:7" x14ac:dyDescent="0.25">
      <c r="G446" s="16"/>
    </row>
    <row r="447" spans="7:7" x14ac:dyDescent="0.25">
      <c r="G447" s="16"/>
    </row>
    <row r="448" spans="7:7" x14ac:dyDescent="0.25">
      <c r="G448" s="16"/>
    </row>
    <row r="449" spans="7:7" x14ac:dyDescent="0.25">
      <c r="G449" s="16"/>
    </row>
    <row r="450" spans="7:7" x14ac:dyDescent="0.25">
      <c r="G450" s="16"/>
    </row>
    <row r="451" spans="7:7" x14ac:dyDescent="0.25">
      <c r="G451" s="16"/>
    </row>
    <row r="452" spans="7:7" x14ac:dyDescent="0.25">
      <c r="G452" s="16"/>
    </row>
    <row r="453" spans="7:7" x14ac:dyDescent="0.25">
      <c r="G453" s="16"/>
    </row>
    <row r="454" spans="7:7" x14ac:dyDescent="0.25">
      <c r="G454" s="16"/>
    </row>
    <row r="455" spans="7:7" x14ac:dyDescent="0.25">
      <c r="G455" s="16"/>
    </row>
    <row r="456" spans="7:7" x14ac:dyDescent="0.25">
      <c r="G456" s="16"/>
    </row>
    <row r="457" spans="7:7" x14ac:dyDescent="0.25">
      <c r="G457" s="16"/>
    </row>
    <row r="458" spans="7:7" x14ac:dyDescent="0.25">
      <c r="G458" s="16"/>
    </row>
    <row r="459" spans="7:7" x14ac:dyDescent="0.25">
      <c r="G459" s="16"/>
    </row>
    <row r="460" spans="7:7" x14ac:dyDescent="0.25">
      <c r="G460" s="16"/>
    </row>
    <row r="461" spans="7:7" x14ac:dyDescent="0.25">
      <c r="G461" s="16"/>
    </row>
    <row r="462" spans="7:7" x14ac:dyDescent="0.25">
      <c r="G462" s="16"/>
    </row>
    <row r="463" spans="7:7" x14ac:dyDescent="0.25">
      <c r="G463" s="16"/>
    </row>
    <row r="464" spans="7:7" x14ac:dyDescent="0.25">
      <c r="G464" s="16"/>
    </row>
    <row r="465" spans="7:7" x14ac:dyDescent="0.25">
      <c r="G465" s="16"/>
    </row>
    <row r="466" spans="7:7" x14ac:dyDescent="0.25">
      <c r="G466" s="16"/>
    </row>
    <row r="467" spans="7:7" x14ac:dyDescent="0.25">
      <c r="G467" s="16"/>
    </row>
    <row r="468" spans="7:7" x14ac:dyDescent="0.25">
      <c r="G468" s="16"/>
    </row>
    <row r="469" spans="7:7" x14ac:dyDescent="0.25">
      <c r="G469" s="16"/>
    </row>
    <row r="470" spans="7:7" x14ac:dyDescent="0.25">
      <c r="G470" s="16"/>
    </row>
    <row r="471" spans="7:7" x14ac:dyDescent="0.25">
      <c r="G471" s="16"/>
    </row>
    <row r="472" spans="7:7" x14ac:dyDescent="0.25">
      <c r="G472" s="16"/>
    </row>
    <row r="473" spans="7:7" x14ac:dyDescent="0.25">
      <c r="G473" s="16"/>
    </row>
    <row r="474" spans="7:7" x14ac:dyDescent="0.25">
      <c r="G474" s="16"/>
    </row>
    <row r="475" spans="7:7" x14ac:dyDescent="0.25">
      <c r="G475" s="16"/>
    </row>
    <row r="476" spans="7:7" x14ac:dyDescent="0.25">
      <c r="G476" s="16"/>
    </row>
    <row r="477" spans="7:7" x14ac:dyDescent="0.25">
      <c r="G477" s="16"/>
    </row>
    <row r="478" spans="7:7" x14ac:dyDescent="0.25">
      <c r="G478" s="16"/>
    </row>
    <row r="479" spans="7:7" x14ac:dyDescent="0.25">
      <c r="G479" s="16"/>
    </row>
    <row r="480" spans="7:7" x14ac:dyDescent="0.25">
      <c r="G480" s="16"/>
    </row>
    <row r="481" spans="7:7" x14ac:dyDescent="0.25">
      <c r="G481" s="16"/>
    </row>
    <row r="482" spans="7:7" x14ac:dyDescent="0.25">
      <c r="G482" s="16"/>
    </row>
    <row r="483" spans="7:7" x14ac:dyDescent="0.25">
      <c r="G483" s="16"/>
    </row>
    <row r="484" spans="7:7" x14ac:dyDescent="0.25">
      <c r="G484" s="16"/>
    </row>
    <row r="485" spans="7:7" x14ac:dyDescent="0.25">
      <c r="G485" s="16"/>
    </row>
    <row r="486" spans="7:7" x14ac:dyDescent="0.25">
      <c r="G486" s="16"/>
    </row>
    <row r="487" spans="7:7" x14ac:dyDescent="0.25">
      <c r="G487" s="16"/>
    </row>
    <row r="488" spans="7:7" x14ac:dyDescent="0.25">
      <c r="G488" s="16"/>
    </row>
    <row r="489" spans="7:7" x14ac:dyDescent="0.25">
      <c r="G489" s="16"/>
    </row>
    <row r="490" spans="7:7" x14ac:dyDescent="0.25">
      <c r="G490" s="16"/>
    </row>
    <row r="491" spans="7:7" x14ac:dyDescent="0.25">
      <c r="G491" s="16"/>
    </row>
    <row r="492" spans="7:7" x14ac:dyDescent="0.25">
      <c r="G492" s="16"/>
    </row>
    <row r="493" spans="7:7" x14ac:dyDescent="0.25">
      <c r="G493" s="16"/>
    </row>
    <row r="494" spans="7:7" x14ac:dyDescent="0.25">
      <c r="G494" s="16"/>
    </row>
    <row r="495" spans="7:7" x14ac:dyDescent="0.25">
      <c r="G495" s="16"/>
    </row>
    <row r="496" spans="7:7" x14ac:dyDescent="0.25">
      <c r="G496" s="16"/>
    </row>
    <row r="497" spans="7:7" x14ac:dyDescent="0.25">
      <c r="G497" s="16"/>
    </row>
    <row r="498" spans="7:7" x14ac:dyDescent="0.25">
      <c r="G498" s="16"/>
    </row>
    <row r="499" spans="7:7" x14ac:dyDescent="0.25">
      <c r="G499" s="16"/>
    </row>
    <row r="500" spans="7:7" x14ac:dyDescent="0.25">
      <c r="G500" s="16"/>
    </row>
    <row r="501" spans="7:7" x14ac:dyDescent="0.25">
      <c r="G501" s="16"/>
    </row>
    <row r="502" spans="7:7" x14ac:dyDescent="0.25">
      <c r="G502" s="16"/>
    </row>
    <row r="503" spans="7:7" x14ac:dyDescent="0.25">
      <c r="G503" s="16"/>
    </row>
    <row r="504" spans="7:7" x14ac:dyDescent="0.25">
      <c r="G504" s="16"/>
    </row>
    <row r="505" spans="7:7" x14ac:dyDescent="0.25">
      <c r="G505" s="16"/>
    </row>
    <row r="506" spans="7:7" x14ac:dyDescent="0.25">
      <c r="G506" s="16"/>
    </row>
    <row r="507" spans="7:7" x14ac:dyDescent="0.25">
      <c r="G507" s="16"/>
    </row>
    <row r="508" spans="7:7" x14ac:dyDescent="0.25">
      <c r="G508" s="16"/>
    </row>
    <row r="509" spans="7:7" x14ac:dyDescent="0.25">
      <c r="G509" s="16"/>
    </row>
    <row r="510" spans="7:7" x14ac:dyDescent="0.25">
      <c r="G510" s="16"/>
    </row>
    <row r="511" spans="7:7" x14ac:dyDescent="0.25">
      <c r="G511" s="16"/>
    </row>
    <row r="512" spans="7:7" x14ac:dyDescent="0.25">
      <c r="G512" s="16"/>
    </row>
    <row r="513" spans="7:7" x14ac:dyDescent="0.25">
      <c r="G513" s="16"/>
    </row>
    <row r="514" spans="7:7" x14ac:dyDescent="0.25">
      <c r="G514" s="16"/>
    </row>
    <row r="515" spans="7:7" x14ac:dyDescent="0.25">
      <c r="G515" s="16"/>
    </row>
    <row r="516" spans="7:7" x14ac:dyDescent="0.25">
      <c r="G516" s="16"/>
    </row>
    <row r="517" spans="7:7" x14ac:dyDescent="0.25">
      <c r="G517" s="16"/>
    </row>
    <row r="518" spans="7:7" x14ac:dyDescent="0.25">
      <c r="G518" s="16"/>
    </row>
    <row r="519" spans="7:7" x14ac:dyDescent="0.25">
      <c r="G519" s="16"/>
    </row>
    <row r="520" spans="7:7" x14ac:dyDescent="0.25">
      <c r="G520" s="16"/>
    </row>
    <row r="521" spans="7:7" x14ac:dyDescent="0.25">
      <c r="G521" s="16"/>
    </row>
    <row r="522" spans="7:7" x14ac:dyDescent="0.25">
      <c r="G522" s="16"/>
    </row>
    <row r="523" spans="7:7" x14ac:dyDescent="0.25">
      <c r="G523" s="16"/>
    </row>
    <row r="524" spans="7:7" x14ac:dyDescent="0.25">
      <c r="G524" s="16"/>
    </row>
    <row r="525" spans="7:7" x14ac:dyDescent="0.25">
      <c r="G525" s="16"/>
    </row>
    <row r="526" spans="7:7" x14ac:dyDescent="0.25">
      <c r="G526" s="16"/>
    </row>
    <row r="527" spans="7:7" x14ac:dyDescent="0.25">
      <c r="G527" s="16"/>
    </row>
    <row r="528" spans="7:7" x14ac:dyDescent="0.25">
      <c r="G528" s="16"/>
    </row>
    <row r="529" spans="7:7" x14ac:dyDescent="0.25">
      <c r="G529" s="16"/>
    </row>
    <row r="530" spans="7:7" x14ac:dyDescent="0.25">
      <c r="G530" s="16"/>
    </row>
    <row r="531" spans="7:7" x14ac:dyDescent="0.25">
      <c r="G531" s="16"/>
    </row>
    <row r="532" spans="7:7" x14ac:dyDescent="0.25">
      <c r="G532" s="16"/>
    </row>
    <row r="533" spans="7:7" x14ac:dyDescent="0.25">
      <c r="G533" s="16"/>
    </row>
    <row r="534" spans="7:7" x14ac:dyDescent="0.25">
      <c r="G534" s="16"/>
    </row>
    <row r="535" spans="7:7" x14ac:dyDescent="0.25">
      <c r="G535" s="16"/>
    </row>
    <row r="536" spans="7:7" x14ac:dyDescent="0.25">
      <c r="G536" s="16"/>
    </row>
    <row r="537" spans="7:7" x14ac:dyDescent="0.25">
      <c r="G537" s="16"/>
    </row>
    <row r="538" spans="7:7" x14ac:dyDescent="0.25">
      <c r="G538" s="16"/>
    </row>
    <row r="539" spans="7:7" x14ac:dyDescent="0.25">
      <c r="G539" s="16"/>
    </row>
    <row r="540" spans="7:7" x14ac:dyDescent="0.25">
      <c r="G540" s="16"/>
    </row>
    <row r="541" spans="7:7" x14ac:dyDescent="0.25">
      <c r="G541" s="16"/>
    </row>
    <row r="542" spans="7:7" x14ac:dyDescent="0.25">
      <c r="G542" s="16"/>
    </row>
    <row r="543" spans="7:7" x14ac:dyDescent="0.25">
      <c r="G543" s="16"/>
    </row>
    <row r="544" spans="7:7" x14ac:dyDescent="0.25">
      <c r="G544" s="16"/>
    </row>
    <row r="545" spans="7:7" x14ac:dyDescent="0.25">
      <c r="G545" s="16"/>
    </row>
    <row r="546" spans="7:7" x14ac:dyDescent="0.25">
      <c r="G546" s="16"/>
    </row>
    <row r="547" spans="7:7" x14ac:dyDescent="0.25">
      <c r="G547" s="16"/>
    </row>
    <row r="548" spans="7:7" x14ac:dyDescent="0.25">
      <c r="G548" s="16"/>
    </row>
    <row r="549" spans="7:7" x14ac:dyDescent="0.25">
      <c r="G549" s="16"/>
    </row>
    <row r="550" spans="7:7" x14ac:dyDescent="0.25">
      <c r="G550" s="16"/>
    </row>
    <row r="551" spans="7:7" x14ac:dyDescent="0.25">
      <c r="G551" s="16"/>
    </row>
    <row r="552" spans="7:7" x14ac:dyDescent="0.25">
      <c r="G552" s="16"/>
    </row>
    <row r="553" spans="7:7" x14ac:dyDescent="0.25">
      <c r="G553" s="16"/>
    </row>
    <row r="554" spans="7:7" x14ac:dyDescent="0.25">
      <c r="G554" s="16"/>
    </row>
    <row r="555" spans="7:7" x14ac:dyDescent="0.25">
      <c r="G555" s="16"/>
    </row>
    <row r="556" spans="7:7" x14ac:dyDescent="0.25">
      <c r="G556" s="16"/>
    </row>
    <row r="557" spans="7:7" x14ac:dyDescent="0.25">
      <c r="G557" s="16"/>
    </row>
    <row r="558" spans="7:7" x14ac:dyDescent="0.25">
      <c r="G558" s="16"/>
    </row>
    <row r="559" spans="7:7" x14ac:dyDescent="0.25">
      <c r="G559" s="16"/>
    </row>
    <row r="560" spans="7:7" x14ac:dyDescent="0.25">
      <c r="G560" s="16"/>
    </row>
    <row r="561" spans="7:7" x14ac:dyDescent="0.25">
      <c r="G561" s="16"/>
    </row>
    <row r="562" spans="7:7" x14ac:dyDescent="0.25">
      <c r="G562" s="16"/>
    </row>
    <row r="563" spans="7:7" x14ac:dyDescent="0.25">
      <c r="G563" s="16"/>
    </row>
    <row r="564" spans="7:7" x14ac:dyDescent="0.25">
      <c r="G564" s="16"/>
    </row>
    <row r="565" spans="7:7" x14ac:dyDescent="0.25">
      <c r="G565" s="16"/>
    </row>
    <row r="566" spans="7:7" x14ac:dyDescent="0.25">
      <c r="G566" s="16"/>
    </row>
    <row r="567" spans="7:7" x14ac:dyDescent="0.25">
      <c r="G567" s="16"/>
    </row>
    <row r="568" spans="7:7" x14ac:dyDescent="0.25">
      <c r="G568" s="16"/>
    </row>
    <row r="569" spans="7:7" x14ac:dyDescent="0.25">
      <c r="G569" s="16"/>
    </row>
    <row r="570" spans="7:7" x14ac:dyDescent="0.25">
      <c r="G570" s="16"/>
    </row>
    <row r="571" spans="7:7" x14ac:dyDescent="0.25">
      <c r="G571" s="16"/>
    </row>
    <row r="572" spans="7:7" x14ac:dyDescent="0.25">
      <c r="G572" s="16"/>
    </row>
    <row r="573" spans="7:7" x14ac:dyDescent="0.25">
      <c r="G573" s="16"/>
    </row>
    <row r="574" spans="7:7" x14ac:dyDescent="0.25">
      <c r="G574" s="16"/>
    </row>
    <row r="575" spans="7:7" x14ac:dyDescent="0.25">
      <c r="G575" s="16"/>
    </row>
    <row r="576" spans="7:7" x14ac:dyDescent="0.25">
      <c r="G576" s="16"/>
    </row>
    <row r="577" spans="7:7" x14ac:dyDescent="0.25">
      <c r="G577" s="16"/>
    </row>
    <row r="578" spans="7:7" x14ac:dyDescent="0.25">
      <c r="G578" s="16"/>
    </row>
    <row r="579" spans="7:7" x14ac:dyDescent="0.25">
      <c r="G579" s="16"/>
    </row>
    <row r="580" spans="7:7" x14ac:dyDescent="0.25">
      <c r="G580" s="16"/>
    </row>
    <row r="581" spans="7:7" x14ac:dyDescent="0.25">
      <c r="G581" s="16"/>
    </row>
    <row r="582" spans="7:7" x14ac:dyDescent="0.25">
      <c r="G582" s="16"/>
    </row>
    <row r="583" spans="7:7" x14ac:dyDescent="0.25">
      <c r="G583" s="16"/>
    </row>
    <row r="584" spans="7:7" x14ac:dyDescent="0.25">
      <c r="G584" s="16"/>
    </row>
    <row r="585" spans="7:7" x14ac:dyDescent="0.25">
      <c r="G585" s="16"/>
    </row>
    <row r="586" spans="7:7" x14ac:dyDescent="0.25">
      <c r="G586" s="16"/>
    </row>
    <row r="587" spans="7:7" x14ac:dyDescent="0.25">
      <c r="G587" s="16"/>
    </row>
    <row r="588" spans="7:7" x14ac:dyDescent="0.25">
      <c r="G588" s="16"/>
    </row>
    <row r="589" spans="7:7" x14ac:dyDescent="0.25">
      <c r="G589" s="16"/>
    </row>
    <row r="590" spans="7:7" x14ac:dyDescent="0.25">
      <c r="G590" s="16"/>
    </row>
    <row r="591" spans="7:7" x14ac:dyDescent="0.25">
      <c r="G591" s="16"/>
    </row>
    <row r="592" spans="7:7" x14ac:dyDescent="0.25">
      <c r="G592" s="16"/>
    </row>
    <row r="593" spans="7:7" x14ac:dyDescent="0.25">
      <c r="G593" s="16"/>
    </row>
    <row r="594" spans="7:7" x14ac:dyDescent="0.25">
      <c r="G594" s="16"/>
    </row>
    <row r="595" spans="7:7" x14ac:dyDescent="0.25">
      <c r="G595" s="16"/>
    </row>
    <row r="596" spans="7:7" x14ac:dyDescent="0.25">
      <c r="G596" s="16"/>
    </row>
    <row r="597" spans="7:7" x14ac:dyDescent="0.25">
      <c r="G597" s="16"/>
    </row>
    <row r="598" spans="7:7" x14ac:dyDescent="0.25">
      <c r="G598" s="16"/>
    </row>
    <row r="599" spans="7:7" x14ac:dyDescent="0.25">
      <c r="G599" s="16"/>
    </row>
    <row r="600" spans="7:7" x14ac:dyDescent="0.25">
      <c r="G600" s="16"/>
    </row>
    <row r="601" spans="7:7" x14ac:dyDescent="0.25">
      <c r="G601" s="16"/>
    </row>
    <row r="602" spans="7:7" x14ac:dyDescent="0.25">
      <c r="G602" s="16"/>
    </row>
    <row r="603" spans="7:7" x14ac:dyDescent="0.25">
      <c r="G603" s="16"/>
    </row>
    <row r="604" spans="7:7" x14ac:dyDescent="0.25">
      <c r="G604" s="16"/>
    </row>
    <row r="605" spans="7:7" x14ac:dyDescent="0.25">
      <c r="G605" s="16"/>
    </row>
    <row r="606" spans="7:7" x14ac:dyDescent="0.25">
      <c r="G606" s="16"/>
    </row>
    <row r="607" spans="7:7" x14ac:dyDescent="0.25">
      <c r="G607" s="16"/>
    </row>
    <row r="608" spans="7:7" x14ac:dyDescent="0.25">
      <c r="G608" s="16"/>
    </row>
    <row r="609" spans="7:7" x14ac:dyDescent="0.25">
      <c r="G609" s="16"/>
    </row>
    <row r="610" spans="7:7" x14ac:dyDescent="0.25">
      <c r="G610" s="16"/>
    </row>
    <row r="611" spans="7:7" x14ac:dyDescent="0.25">
      <c r="G611" s="16"/>
    </row>
    <row r="612" spans="7:7" x14ac:dyDescent="0.25">
      <c r="G612" s="16"/>
    </row>
    <row r="613" spans="7:7" x14ac:dyDescent="0.25">
      <c r="G613" s="16"/>
    </row>
    <row r="614" spans="7:7" x14ac:dyDescent="0.25">
      <c r="G614" s="16"/>
    </row>
    <row r="615" spans="7:7" x14ac:dyDescent="0.25">
      <c r="G615" s="16"/>
    </row>
    <row r="616" spans="7:7" x14ac:dyDescent="0.25">
      <c r="G616" s="16"/>
    </row>
    <row r="617" spans="7:7" x14ac:dyDescent="0.25">
      <c r="G617" s="16"/>
    </row>
    <row r="618" spans="7:7" x14ac:dyDescent="0.25">
      <c r="G618" s="16"/>
    </row>
    <row r="619" spans="7:7" x14ac:dyDescent="0.25">
      <c r="G619" s="16"/>
    </row>
    <row r="620" spans="7:7" x14ac:dyDescent="0.25">
      <c r="G620" s="16"/>
    </row>
    <row r="621" spans="7:7" x14ac:dyDescent="0.25">
      <c r="G621" s="16"/>
    </row>
    <row r="622" spans="7:7" x14ac:dyDescent="0.25">
      <c r="G622" s="16"/>
    </row>
    <row r="623" spans="7:7" x14ac:dyDescent="0.25">
      <c r="G623" s="16"/>
    </row>
    <row r="624" spans="7:7" x14ac:dyDescent="0.25">
      <c r="G624" s="16"/>
    </row>
    <row r="625" spans="7:7" x14ac:dyDescent="0.25">
      <c r="G625" s="16"/>
    </row>
    <row r="626" spans="7:7" x14ac:dyDescent="0.25">
      <c r="G626" s="16"/>
    </row>
    <row r="627" spans="7:7" x14ac:dyDescent="0.25">
      <c r="G627" s="16"/>
    </row>
    <row r="628" spans="7:7" x14ac:dyDescent="0.25">
      <c r="G628" s="16"/>
    </row>
    <row r="629" spans="7:7" x14ac:dyDescent="0.25">
      <c r="G629" s="16"/>
    </row>
    <row r="630" spans="7:7" x14ac:dyDescent="0.25">
      <c r="G630" s="16"/>
    </row>
    <row r="631" spans="7:7" x14ac:dyDescent="0.25">
      <c r="G631" s="16"/>
    </row>
    <row r="632" spans="7:7" x14ac:dyDescent="0.25">
      <c r="G632" s="16"/>
    </row>
    <row r="633" spans="7:7" x14ac:dyDescent="0.25">
      <c r="G633" s="16"/>
    </row>
    <row r="634" spans="7:7" x14ac:dyDescent="0.25">
      <c r="G634" s="16"/>
    </row>
    <row r="635" spans="7:7" x14ac:dyDescent="0.25">
      <c r="G635" s="16"/>
    </row>
    <row r="636" spans="7:7" x14ac:dyDescent="0.25">
      <c r="G636" s="16"/>
    </row>
    <row r="637" spans="7:7" x14ac:dyDescent="0.25">
      <c r="G637" s="16"/>
    </row>
    <row r="638" spans="7:7" x14ac:dyDescent="0.25">
      <c r="G638" s="16"/>
    </row>
    <row r="639" spans="7:7" x14ac:dyDescent="0.25">
      <c r="G639" s="16"/>
    </row>
    <row r="640" spans="7:7" x14ac:dyDescent="0.25">
      <c r="G640" s="16"/>
    </row>
    <row r="641" spans="7:7" x14ac:dyDescent="0.25">
      <c r="G641" s="16"/>
    </row>
    <row r="642" spans="7:7" x14ac:dyDescent="0.25">
      <c r="G642" s="16"/>
    </row>
    <row r="643" spans="7:7" x14ac:dyDescent="0.25">
      <c r="G643" s="16"/>
    </row>
    <row r="644" spans="7:7" x14ac:dyDescent="0.25">
      <c r="G644" s="16"/>
    </row>
    <row r="645" spans="7:7" x14ac:dyDescent="0.25">
      <c r="G645" s="16"/>
    </row>
    <row r="646" spans="7:7" x14ac:dyDescent="0.25">
      <c r="G646" s="16"/>
    </row>
    <row r="647" spans="7:7" x14ac:dyDescent="0.25">
      <c r="G647" s="16"/>
    </row>
    <row r="648" spans="7:7" x14ac:dyDescent="0.25">
      <c r="G648" s="16"/>
    </row>
    <row r="649" spans="7:7" x14ac:dyDescent="0.25">
      <c r="G649" s="16"/>
    </row>
    <row r="650" spans="7:7" x14ac:dyDescent="0.25">
      <c r="G650" s="16"/>
    </row>
    <row r="651" spans="7:7" x14ac:dyDescent="0.25">
      <c r="G651" s="16"/>
    </row>
    <row r="652" spans="7:7" x14ac:dyDescent="0.25">
      <c r="G652" s="16"/>
    </row>
    <row r="653" spans="7:7" x14ac:dyDescent="0.25">
      <c r="G653" s="16"/>
    </row>
    <row r="654" spans="7:7" x14ac:dyDescent="0.25">
      <c r="G654" s="16"/>
    </row>
    <row r="655" spans="7:7" x14ac:dyDescent="0.25">
      <c r="G655" s="16"/>
    </row>
    <row r="656" spans="7:7" x14ac:dyDescent="0.25">
      <c r="G656" s="16"/>
    </row>
    <row r="657" spans="7:7" x14ac:dyDescent="0.25">
      <c r="G657" s="16"/>
    </row>
    <row r="658" spans="7:7" x14ac:dyDescent="0.25">
      <c r="G658" s="16"/>
    </row>
    <row r="659" spans="7:7" x14ac:dyDescent="0.25">
      <c r="G659" s="16"/>
    </row>
    <row r="660" spans="7:7" x14ac:dyDescent="0.25">
      <c r="G660" s="16"/>
    </row>
    <row r="661" spans="7:7" x14ac:dyDescent="0.25">
      <c r="G661" s="16"/>
    </row>
    <row r="662" spans="7:7" x14ac:dyDescent="0.25">
      <c r="G662" s="16"/>
    </row>
    <row r="663" spans="7:7" x14ac:dyDescent="0.25">
      <c r="G663" s="16"/>
    </row>
    <row r="664" spans="7:7" x14ac:dyDescent="0.25">
      <c r="G664" s="16"/>
    </row>
    <row r="665" spans="7:7" x14ac:dyDescent="0.25">
      <c r="G665" s="16"/>
    </row>
    <row r="666" spans="7:7" x14ac:dyDescent="0.25">
      <c r="G666" s="16"/>
    </row>
    <row r="667" spans="7:7" x14ac:dyDescent="0.25">
      <c r="G667" s="16"/>
    </row>
    <row r="668" spans="7:7" x14ac:dyDescent="0.25">
      <c r="G668" s="16"/>
    </row>
    <row r="669" spans="7:7" x14ac:dyDescent="0.25">
      <c r="G669" s="16"/>
    </row>
    <row r="670" spans="7:7" x14ac:dyDescent="0.25">
      <c r="G670" s="16"/>
    </row>
    <row r="671" spans="7:7" x14ac:dyDescent="0.25">
      <c r="G671" s="16"/>
    </row>
    <row r="672" spans="7:7" x14ac:dyDescent="0.25">
      <c r="G672" s="16"/>
    </row>
    <row r="673" spans="7:7" x14ac:dyDescent="0.25">
      <c r="G673" s="16"/>
    </row>
    <row r="674" spans="7:7" x14ac:dyDescent="0.25">
      <c r="G674" s="16"/>
    </row>
    <row r="675" spans="7:7" x14ac:dyDescent="0.25">
      <c r="G675" s="16"/>
    </row>
    <row r="676" spans="7:7" x14ac:dyDescent="0.25">
      <c r="G676" s="16"/>
    </row>
    <row r="677" spans="7:7" x14ac:dyDescent="0.25">
      <c r="G677" s="16"/>
    </row>
    <row r="678" spans="7:7" x14ac:dyDescent="0.25">
      <c r="G678" s="16"/>
    </row>
    <row r="679" spans="7:7" x14ac:dyDescent="0.25">
      <c r="G679" s="16"/>
    </row>
    <row r="680" spans="7:7" x14ac:dyDescent="0.25">
      <c r="G680" s="16"/>
    </row>
    <row r="681" spans="7:7" x14ac:dyDescent="0.25">
      <c r="G681" s="16"/>
    </row>
    <row r="682" spans="7:7" x14ac:dyDescent="0.25">
      <c r="G682" s="16"/>
    </row>
    <row r="683" spans="7:7" x14ac:dyDescent="0.25">
      <c r="G683" s="16"/>
    </row>
    <row r="684" spans="7:7" x14ac:dyDescent="0.25">
      <c r="G684" s="16"/>
    </row>
    <row r="685" spans="7:7" x14ac:dyDescent="0.25">
      <c r="G685" s="16"/>
    </row>
    <row r="686" spans="7:7" x14ac:dyDescent="0.25">
      <c r="G686" s="16"/>
    </row>
    <row r="687" spans="7:7" x14ac:dyDescent="0.25">
      <c r="G687" s="16"/>
    </row>
    <row r="688" spans="7:7" x14ac:dyDescent="0.25">
      <c r="G688" s="16"/>
    </row>
    <row r="689" spans="7:7" x14ac:dyDescent="0.25">
      <c r="G689" s="16"/>
    </row>
    <row r="690" spans="7:7" x14ac:dyDescent="0.25">
      <c r="G690" s="16"/>
    </row>
    <row r="691" spans="7:7" x14ac:dyDescent="0.25">
      <c r="G691" s="16"/>
    </row>
    <row r="692" spans="7:7" x14ac:dyDescent="0.25">
      <c r="G692" s="16"/>
    </row>
    <row r="693" spans="7:7" x14ac:dyDescent="0.25">
      <c r="G693" s="16"/>
    </row>
    <row r="694" spans="7:7" x14ac:dyDescent="0.25">
      <c r="G694" s="16"/>
    </row>
    <row r="695" spans="7:7" x14ac:dyDescent="0.25">
      <c r="G695" s="16"/>
    </row>
    <row r="696" spans="7:7" x14ac:dyDescent="0.25">
      <c r="G696" s="16"/>
    </row>
    <row r="697" spans="7:7" x14ac:dyDescent="0.25">
      <c r="G697" s="16"/>
    </row>
    <row r="698" spans="7:7" x14ac:dyDescent="0.25">
      <c r="G698" s="16"/>
    </row>
    <row r="699" spans="7:7" x14ac:dyDescent="0.25">
      <c r="G699" s="16"/>
    </row>
    <row r="700" spans="7:7" x14ac:dyDescent="0.25">
      <c r="G700" s="16"/>
    </row>
    <row r="701" spans="7:7" x14ac:dyDescent="0.25">
      <c r="G701" s="16"/>
    </row>
    <row r="702" spans="7:7" x14ac:dyDescent="0.25">
      <c r="G702" s="16"/>
    </row>
    <row r="703" spans="7:7" x14ac:dyDescent="0.25">
      <c r="G703" s="16"/>
    </row>
    <row r="704" spans="7:7" x14ac:dyDescent="0.25">
      <c r="G704" s="16"/>
    </row>
    <row r="705" spans="7:7" x14ac:dyDescent="0.25">
      <c r="G705" s="16"/>
    </row>
    <row r="706" spans="7:7" x14ac:dyDescent="0.25">
      <c r="G706" s="16"/>
    </row>
    <row r="707" spans="7:7" x14ac:dyDescent="0.25">
      <c r="G707" s="16"/>
    </row>
    <row r="708" spans="7:7" x14ac:dyDescent="0.25">
      <c r="G708" s="16"/>
    </row>
    <row r="709" spans="7:7" x14ac:dyDescent="0.25">
      <c r="G709" s="16"/>
    </row>
    <row r="710" spans="7:7" x14ac:dyDescent="0.25">
      <c r="G710" s="16"/>
    </row>
    <row r="711" spans="7:7" x14ac:dyDescent="0.25">
      <c r="G711" s="16"/>
    </row>
    <row r="712" spans="7:7" x14ac:dyDescent="0.25">
      <c r="G712" s="16"/>
    </row>
    <row r="713" spans="7:7" x14ac:dyDescent="0.25">
      <c r="G713" s="16"/>
    </row>
    <row r="714" spans="7:7" x14ac:dyDescent="0.25">
      <c r="G714" s="16"/>
    </row>
    <row r="715" spans="7:7" x14ac:dyDescent="0.25">
      <c r="G715" s="16"/>
    </row>
    <row r="716" spans="7:7" x14ac:dyDescent="0.25">
      <c r="G716" s="16"/>
    </row>
    <row r="717" spans="7:7" x14ac:dyDescent="0.25">
      <c r="G717" s="16"/>
    </row>
    <row r="718" spans="7:7" x14ac:dyDescent="0.25">
      <c r="G718" s="16"/>
    </row>
    <row r="719" spans="7:7" x14ac:dyDescent="0.25">
      <c r="G719" s="16"/>
    </row>
    <row r="720" spans="7:7" x14ac:dyDescent="0.25">
      <c r="G720" s="16"/>
    </row>
    <row r="721" spans="7:7" x14ac:dyDescent="0.25">
      <c r="G721" s="16"/>
    </row>
    <row r="722" spans="7:7" x14ac:dyDescent="0.25">
      <c r="G722" s="16"/>
    </row>
    <row r="723" spans="7:7" x14ac:dyDescent="0.25">
      <c r="G723" s="16"/>
    </row>
    <row r="724" spans="7:7" x14ac:dyDescent="0.25">
      <c r="G724" s="16"/>
    </row>
    <row r="725" spans="7:7" x14ac:dyDescent="0.25">
      <c r="G725" s="16"/>
    </row>
    <row r="726" spans="7:7" x14ac:dyDescent="0.25">
      <c r="G726" s="16"/>
    </row>
    <row r="727" spans="7:7" x14ac:dyDescent="0.25">
      <c r="G727" s="16"/>
    </row>
    <row r="728" spans="7:7" x14ac:dyDescent="0.25">
      <c r="G728" s="16"/>
    </row>
    <row r="729" spans="7:7" x14ac:dyDescent="0.25">
      <c r="G729" s="16"/>
    </row>
    <row r="730" spans="7:7" x14ac:dyDescent="0.25">
      <c r="G730" s="16"/>
    </row>
    <row r="731" spans="7:7" x14ac:dyDescent="0.25">
      <c r="G731" s="16"/>
    </row>
    <row r="732" spans="7:7" x14ac:dyDescent="0.25">
      <c r="G732" s="16"/>
    </row>
    <row r="733" spans="7:7" x14ac:dyDescent="0.25">
      <c r="G733" s="16"/>
    </row>
    <row r="734" spans="7:7" x14ac:dyDescent="0.25">
      <c r="G734" s="16"/>
    </row>
    <row r="735" spans="7:7" x14ac:dyDescent="0.25">
      <c r="G735" s="16"/>
    </row>
    <row r="736" spans="7:7" x14ac:dyDescent="0.25">
      <c r="G736" s="16"/>
    </row>
    <row r="737" spans="7:7" x14ac:dyDescent="0.25">
      <c r="G737" s="16"/>
    </row>
    <row r="738" spans="7:7" x14ac:dyDescent="0.25">
      <c r="G738" s="16"/>
    </row>
    <row r="739" spans="7:7" x14ac:dyDescent="0.25">
      <c r="G739" s="16"/>
    </row>
    <row r="740" spans="7:7" x14ac:dyDescent="0.25">
      <c r="G740" s="16"/>
    </row>
    <row r="741" spans="7:7" x14ac:dyDescent="0.25">
      <c r="G741" s="16"/>
    </row>
    <row r="742" spans="7:7" x14ac:dyDescent="0.25">
      <c r="G742" s="16"/>
    </row>
    <row r="743" spans="7:7" x14ac:dyDescent="0.25">
      <c r="G743" s="16"/>
    </row>
    <row r="744" spans="7:7" x14ac:dyDescent="0.25">
      <c r="G744" s="16"/>
    </row>
    <row r="745" spans="7:7" x14ac:dyDescent="0.25">
      <c r="G745" s="16"/>
    </row>
    <row r="746" spans="7:7" x14ac:dyDescent="0.25">
      <c r="G746" s="16"/>
    </row>
    <row r="747" spans="7:7" x14ac:dyDescent="0.25">
      <c r="G747" s="16"/>
    </row>
    <row r="748" spans="7:7" x14ac:dyDescent="0.25">
      <c r="G748" s="16"/>
    </row>
    <row r="749" spans="7:7" x14ac:dyDescent="0.25">
      <c r="G749" s="16"/>
    </row>
    <row r="750" spans="7:7" x14ac:dyDescent="0.25">
      <c r="G750" s="16"/>
    </row>
    <row r="751" spans="7:7" x14ac:dyDescent="0.25">
      <c r="G751" s="16"/>
    </row>
    <row r="752" spans="7:7" x14ac:dyDescent="0.25">
      <c r="G752" s="16"/>
    </row>
    <row r="753" spans="7:7" x14ac:dyDescent="0.25">
      <c r="G753" s="16"/>
    </row>
    <row r="754" spans="7:7" x14ac:dyDescent="0.25">
      <c r="G754" s="16"/>
    </row>
    <row r="755" spans="7:7" x14ac:dyDescent="0.25">
      <c r="G755" s="16"/>
    </row>
    <row r="756" spans="7:7" x14ac:dyDescent="0.25">
      <c r="G756" s="16"/>
    </row>
    <row r="757" spans="7:7" x14ac:dyDescent="0.25">
      <c r="G757" s="16"/>
    </row>
    <row r="758" spans="7:7" x14ac:dyDescent="0.25">
      <c r="G758" s="16"/>
    </row>
    <row r="759" spans="7:7" x14ac:dyDescent="0.25">
      <c r="G759" s="16"/>
    </row>
    <row r="760" spans="7:7" x14ac:dyDescent="0.25">
      <c r="G760" s="16"/>
    </row>
    <row r="761" spans="7:7" x14ac:dyDescent="0.25">
      <c r="G761" s="16"/>
    </row>
    <row r="762" spans="7:7" x14ac:dyDescent="0.25">
      <c r="G762" s="16"/>
    </row>
    <row r="763" spans="7:7" x14ac:dyDescent="0.25">
      <c r="G763" s="16"/>
    </row>
    <row r="764" spans="7:7" x14ac:dyDescent="0.25">
      <c r="G764" s="16"/>
    </row>
    <row r="765" spans="7:7" x14ac:dyDescent="0.25">
      <c r="G765" s="16"/>
    </row>
    <row r="766" spans="7:7" x14ac:dyDescent="0.25">
      <c r="G766" s="16"/>
    </row>
    <row r="767" spans="7:7" x14ac:dyDescent="0.25">
      <c r="G767" s="16"/>
    </row>
    <row r="768" spans="7:7" x14ac:dyDescent="0.25">
      <c r="G768" s="16"/>
    </row>
    <row r="769" spans="7:7" x14ac:dyDescent="0.25">
      <c r="G769" s="16"/>
    </row>
    <row r="770" spans="7:7" x14ac:dyDescent="0.25">
      <c r="G770" s="16"/>
    </row>
    <row r="771" spans="7:7" x14ac:dyDescent="0.25">
      <c r="G771" s="16"/>
    </row>
    <row r="772" spans="7:7" x14ac:dyDescent="0.25">
      <c r="G772" s="16"/>
    </row>
    <row r="773" spans="7:7" x14ac:dyDescent="0.25">
      <c r="G773" s="16"/>
    </row>
    <row r="774" spans="7:7" x14ac:dyDescent="0.25">
      <c r="G774" s="16"/>
    </row>
    <row r="775" spans="7:7" x14ac:dyDescent="0.25">
      <c r="G775" s="16"/>
    </row>
    <row r="776" spans="7:7" x14ac:dyDescent="0.25">
      <c r="G776" s="16"/>
    </row>
    <row r="777" spans="7:7" x14ac:dyDescent="0.25">
      <c r="G777" s="16"/>
    </row>
    <row r="778" spans="7:7" x14ac:dyDescent="0.25">
      <c r="G778" s="16"/>
    </row>
    <row r="779" spans="7:7" x14ac:dyDescent="0.25">
      <c r="G779" s="16"/>
    </row>
    <row r="780" spans="7:7" x14ac:dyDescent="0.25">
      <c r="G780" s="16"/>
    </row>
    <row r="781" spans="7:7" x14ac:dyDescent="0.25">
      <c r="G781" s="16"/>
    </row>
    <row r="782" spans="7:7" x14ac:dyDescent="0.25">
      <c r="G782" s="16"/>
    </row>
    <row r="783" spans="7:7" x14ac:dyDescent="0.25">
      <c r="G783" s="16"/>
    </row>
    <row r="784" spans="7:7" x14ac:dyDescent="0.25">
      <c r="G784" s="16"/>
    </row>
    <row r="785" spans="7:7" x14ac:dyDescent="0.25">
      <c r="G785" s="16"/>
    </row>
    <row r="786" spans="7:7" x14ac:dyDescent="0.25">
      <c r="G786" s="16"/>
    </row>
    <row r="787" spans="7:7" x14ac:dyDescent="0.25">
      <c r="G787" s="16"/>
    </row>
    <row r="788" spans="7:7" x14ac:dyDescent="0.25">
      <c r="G788" s="16"/>
    </row>
    <row r="789" spans="7:7" x14ac:dyDescent="0.25">
      <c r="G789" s="16"/>
    </row>
    <row r="790" spans="7:7" x14ac:dyDescent="0.25">
      <c r="G790" s="16"/>
    </row>
    <row r="791" spans="7:7" x14ac:dyDescent="0.25">
      <c r="G791" s="16"/>
    </row>
    <row r="792" spans="7:7" x14ac:dyDescent="0.25">
      <c r="G792" s="16"/>
    </row>
    <row r="793" spans="7:7" x14ac:dyDescent="0.25">
      <c r="G793" s="16"/>
    </row>
    <row r="794" spans="7:7" x14ac:dyDescent="0.25">
      <c r="G794" s="16"/>
    </row>
    <row r="795" spans="7:7" x14ac:dyDescent="0.25">
      <c r="G795" s="16"/>
    </row>
    <row r="796" spans="7:7" x14ac:dyDescent="0.25">
      <c r="G796" s="16"/>
    </row>
    <row r="797" spans="7:7" x14ac:dyDescent="0.25">
      <c r="G797" s="16"/>
    </row>
    <row r="798" spans="7:7" x14ac:dyDescent="0.25">
      <c r="G798" s="16"/>
    </row>
    <row r="799" spans="7:7" x14ac:dyDescent="0.25">
      <c r="G799" s="16"/>
    </row>
    <row r="800" spans="7:7" x14ac:dyDescent="0.25">
      <c r="G800" s="16"/>
    </row>
    <row r="801" spans="7:7" x14ac:dyDescent="0.25">
      <c r="G801" s="16"/>
    </row>
    <row r="802" spans="7:7" x14ac:dyDescent="0.25">
      <c r="G802" s="16"/>
    </row>
    <row r="803" spans="7:7" x14ac:dyDescent="0.25">
      <c r="G803" s="16"/>
    </row>
    <row r="804" spans="7:7" x14ac:dyDescent="0.25">
      <c r="G804" s="16"/>
    </row>
    <row r="805" spans="7:7" x14ac:dyDescent="0.25">
      <c r="G805" s="16"/>
    </row>
    <row r="806" spans="7:7" x14ac:dyDescent="0.25">
      <c r="G806" s="16"/>
    </row>
    <row r="807" spans="7:7" x14ac:dyDescent="0.25">
      <c r="G807" s="16"/>
    </row>
    <row r="808" spans="7:7" x14ac:dyDescent="0.25">
      <c r="G808" s="16"/>
    </row>
    <row r="809" spans="7:7" x14ac:dyDescent="0.25">
      <c r="G809" s="16"/>
    </row>
    <row r="810" spans="7:7" x14ac:dyDescent="0.25">
      <c r="G810" s="16"/>
    </row>
    <row r="811" spans="7:7" x14ac:dyDescent="0.25">
      <c r="G811" s="16"/>
    </row>
    <row r="812" spans="7:7" x14ac:dyDescent="0.25">
      <c r="G812" s="16"/>
    </row>
    <row r="813" spans="7:7" x14ac:dyDescent="0.25">
      <c r="G813" s="16"/>
    </row>
    <row r="814" spans="7:7" x14ac:dyDescent="0.25">
      <c r="G814" s="16"/>
    </row>
    <row r="815" spans="7:7" x14ac:dyDescent="0.25">
      <c r="G815" s="16"/>
    </row>
    <row r="816" spans="7:7" x14ac:dyDescent="0.25">
      <c r="G816" s="16"/>
    </row>
    <row r="817" spans="7:7" x14ac:dyDescent="0.25">
      <c r="G817" s="16"/>
    </row>
    <row r="818" spans="7:7" x14ac:dyDescent="0.25">
      <c r="G818" s="16"/>
    </row>
    <row r="819" spans="7:7" x14ac:dyDescent="0.25">
      <c r="G819" s="16"/>
    </row>
    <row r="820" spans="7:7" x14ac:dyDescent="0.25">
      <c r="G820" s="16"/>
    </row>
    <row r="821" spans="7:7" x14ac:dyDescent="0.25">
      <c r="G821" s="16"/>
    </row>
    <row r="822" spans="7:7" x14ac:dyDescent="0.25">
      <c r="G822" s="16"/>
    </row>
    <row r="823" spans="7:7" x14ac:dyDescent="0.25">
      <c r="G823" s="16"/>
    </row>
    <row r="824" spans="7:7" x14ac:dyDescent="0.25">
      <c r="G824" s="16"/>
    </row>
    <row r="825" spans="7:7" x14ac:dyDescent="0.25">
      <c r="G825" s="16"/>
    </row>
    <row r="826" spans="7:7" x14ac:dyDescent="0.25">
      <c r="G826" s="16"/>
    </row>
    <row r="827" spans="7:7" x14ac:dyDescent="0.25">
      <c r="G827" s="16"/>
    </row>
    <row r="828" spans="7:7" x14ac:dyDescent="0.25">
      <c r="G828" s="16"/>
    </row>
    <row r="829" spans="7:7" x14ac:dyDescent="0.25">
      <c r="G829" s="16"/>
    </row>
    <row r="830" spans="7:7" x14ac:dyDescent="0.25">
      <c r="G830" s="16"/>
    </row>
    <row r="831" spans="7:7" x14ac:dyDescent="0.25">
      <c r="G831" s="16"/>
    </row>
    <row r="832" spans="7:7" x14ac:dyDescent="0.25">
      <c r="G832" s="16"/>
    </row>
    <row r="833" spans="7:7" x14ac:dyDescent="0.25">
      <c r="G833" s="16"/>
    </row>
    <row r="834" spans="7:7" x14ac:dyDescent="0.25">
      <c r="G834" s="16"/>
    </row>
    <row r="835" spans="7:7" x14ac:dyDescent="0.25">
      <c r="G835" s="16"/>
    </row>
    <row r="836" spans="7:7" x14ac:dyDescent="0.25">
      <c r="G836" s="16"/>
    </row>
    <row r="837" spans="7:7" x14ac:dyDescent="0.25">
      <c r="G837" s="16"/>
    </row>
    <row r="838" spans="7:7" x14ac:dyDescent="0.25">
      <c r="G838" s="16"/>
    </row>
    <row r="839" spans="7:7" x14ac:dyDescent="0.25">
      <c r="G839" s="16"/>
    </row>
    <row r="840" spans="7:7" x14ac:dyDescent="0.25">
      <c r="G840" s="16"/>
    </row>
    <row r="841" spans="7:7" x14ac:dyDescent="0.25">
      <c r="G841" s="16"/>
    </row>
    <row r="842" spans="7:7" x14ac:dyDescent="0.25">
      <c r="G842" s="16"/>
    </row>
    <row r="843" spans="7:7" x14ac:dyDescent="0.25">
      <c r="G843" s="16"/>
    </row>
    <row r="844" spans="7:7" x14ac:dyDescent="0.25">
      <c r="G844" s="16"/>
    </row>
    <row r="845" spans="7:7" x14ac:dyDescent="0.25">
      <c r="G845" s="16"/>
    </row>
    <row r="846" spans="7:7" x14ac:dyDescent="0.25">
      <c r="G846" s="16"/>
    </row>
    <row r="847" spans="7:7" x14ac:dyDescent="0.25">
      <c r="G847" s="16"/>
    </row>
    <row r="848" spans="7:7" x14ac:dyDescent="0.25">
      <c r="G848" s="16"/>
    </row>
    <row r="849" spans="7:7" x14ac:dyDescent="0.25">
      <c r="G849" s="16"/>
    </row>
    <row r="850" spans="7:7" x14ac:dyDescent="0.25">
      <c r="G850" s="16"/>
    </row>
    <row r="851" spans="7:7" x14ac:dyDescent="0.25">
      <c r="G851" s="16"/>
    </row>
    <row r="852" spans="7:7" x14ac:dyDescent="0.25">
      <c r="G852" s="16"/>
    </row>
    <row r="853" spans="7:7" x14ac:dyDescent="0.25">
      <c r="G853" s="16"/>
    </row>
    <row r="854" spans="7:7" x14ac:dyDescent="0.25">
      <c r="G854" s="16"/>
    </row>
    <row r="855" spans="7:7" x14ac:dyDescent="0.25">
      <c r="G855" s="16"/>
    </row>
    <row r="856" spans="7:7" x14ac:dyDescent="0.25">
      <c r="G856" s="16"/>
    </row>
    <row r="857" spans="7:7" x14ac:dyDescent="0.25">
      <c r="G857" s="16"/>
    </row>
    <row r="858" spans="7:7" x14ac:dyDescent="0.25">
      <c r="G858" s="16"/>
    </row>
    <row r="859" spans="7:7" x14ac:dyDescent="0.25">
      <c r="G859" s="16"/>
    </row>
    <row r="860" spans="7:7" x14ac:dyDescent="0.25">
      <c r="G860" s="16"/>
    </row>
    <row r="861" spans="7:7" x14ac:dyDescent="0.25">
      <c r="G861" s="16"/>
    </row>
    <row r="862" spans="7:7" x14ac:dyDescent="0.25">
      <c r="G862" s="16"/>
    </row>
    <row r="863" spans="7:7" x14ac:dyDescent="0.25">
      <c r="G863" s="16"/>
    </row>
    <row r="864" spans="7:7" x14ac:dyDescent="0.25">
      <c r="G864" s="16"/>
    </row>
    <row r="865" spans="7:7" x14ac:dyDescent="0.25">
      <c r="G865" s="16"/>
    </row>
    <row r="866" spans="7:7" x14ac:dyDescent="0.25">
      <c r="G866" s="16"/>
    </row>
    <row r="867" spans="7:7" x14ac:dyDescent="0.25">
      <c r="G867" s="16"/>
    </row>
    <row r="868" spans="7:7" x14ac:dyDescent="0.25">
      <c r="G868" s="16"/>
    </row>
    <row r="869" spans="7:7" x14ac:dyDescent="0.25">
      <c r="G869" s="16"/>
    </row>
    <row r="870" spans="7:7" x14ac:dyDescent="0.25">
      <c r="G870" s="16"/>
    </row>
    <row r="871" spans="7:7" x14ac:dyDescent="0.25">
      <c r="G871" s="16"/>
    </row>
    <row r="872" spans="7:7" x14ac:dyDescent="0.25">
      <c r="G872" s="16"/>
    </row>
    <row r="873" spans="7:7" x14ac:dyDescent="0.25">
      <c r="G873" s="16"/>
    </row>
    <row r="874" spans="7:7" x14ac:dyDescent="0.25">
      <c r="G874" s="16"/>
    </row>
    <row r="875" spans="7:7" x14ac:dyDescent="0.25">
      <c r="G875" s="16"/>
    </row>
    <row r="876" spans="7:7" x14ac:dyDescent="0.25">
      <c r="G876" s="16"/>
    </row>
    <row r="877" spans="7:7" x14ac:dyDescent="0.25">
      <c r="G877" s="16"/>
    </row>
    <row r="878" spans="7:7" x14ac:dyDescent="0.25">
      <c r="G878" s="16"/>
    </row>
    <row r="879" spans="7:7" x14ac:dyDescent="0.25">
      <c r="G879" s="16"/>
    </row>
    <row r="880" spans="7:7" x14ac:dyDescent="0.25">
      <c r="G880" s="16"/>
    </row>
    <row r="881" spans="7:7" x14ac:dyDescent="0.25">
      <c r="G881" s="16"/>
    </row>
    <row r="882" spans="7:7" x14ac:dyDescent="0.25">
      <c r="G882" s="16"/>
    </row>
    <row r="883" spans="7:7" x14ac:dyDescent="0.25">
      <c r="G883" s="16"/>
    </row>
    <row r="884" spans="7:7" x14ac:dyDescent="0.25">
      <c r="G884" s="16"/>
    </row>
    <row r="885" spans="7:7" x14ac:dyDescent="0.25">
      <c r="G885" s="16"/>
    </row>
    <row r="886" spans="7:7" x14ac:dyDescent="0.25">
      <c r="G886" s="16"/>
    </row>
    <row r="887" spans="7:7" x14ac:dyDescent="0.25">
      <c r="G887" s="16"/>
    </row>
    <row r="888" spans="7:7" x14ac:dyDescent="0.25">
      <c r="G888" s="16"/>
    </row>
    <row r="889" spans="7:7" x14ac:dyDescent="0.25">
      <c r="G889" s="16"/>
    </row>
    <row r="890" spans="7:7" x14ac:dyDescent="0.25">
      <c r="G890" s="16"/>
    </row>
    <row r="891" spans="7:7" x14ac:dyDescent="0.25">
      <c r="G891" s="16"/>
    </row>
    <row r="892" spans="7:7" x14ac:dyDescent="0.25">
      <c r="G892" s="16"/>
    </row>
    <row r="893" spans="7:7" x14ac:dyDescent="0.25">
      <c r="G893" s="16"/>
    </row>
    <row r="894" spans="7:7" x14ac:dyDescent="0.25">
      <c r="G894" s="16"/>
    </row>
    <row r="895" spans="7:7" x14ac:dyDescent="0.25">
      <c r="G895" s="16"/>
    </row>
    <row r="896" spans="7:7" x14ac:dyDescent="0.25">
      <c r="G896" s="16"/>
    </row>
    <row r="897" spans="7:7" x14ac:dyDescent="0.25">
      <c r="G897" s="16"/>
    </row>
    <row r="898" spans="7:7" x14ac:dyDescent="0.25">
      <c r="G898" s="16"/>
    </row>
    <row r="899" spans="7:7" x14ac:dyDescent="0.25">
      <c r="G899" s="16"/>
    </row>
    <row r="900" spans="7:7" x14ac:dyDescent="0.25">
      <c r="G900" s="16"/>
    </row>
    <row r="901" spans="7:7" x14ac:dyDescent="0.25">
      <c r="G901" s="16"/>
    </row>
    <row r="902" spans="7:7" x14ac:dyDescent="0.25">
      <c r="G902" s="16"/>
    </row>
    <row r="903" spans="7:7" x14ac:dyDescent="0.25">
      <c r="G903" s="16"/>
    </row>
    <row r="904" spans="7:7" x14ac:dyDescent="0.25">
      <c r="G904" s="16"/>
    </row>
    <row r="905" spans="7:7" x14ac:dyDescent="0.25">
      <c r="G905" s="16"/>
    </row>
    <row r="906" spans="7:7" x14ac:dyDescent="0.25">
      <c r="G906" s="16"/>
    </row>
    <row r="907" spans="7:7" x14ac:dyDescent="0.25">
      <c r="G907" s="16"/>
    </row>
    <row r="908" spans="7:7" x14ac:dyDescent="0.25">
      <c r="G908" s="16"/>
    </row>
    <row r="909" spans="7:7" x14ac:dyDescent="0.25">
      <c r="G909" s="16"/>
    </row>
    <row r="910" spans="7:7" x14ac:dyDescent="0.25">
      <c r="G910" s="16"/>
    </row>
    <row r="911" spans="7:7" x14ac:dyDescent="0.25">
      <c r="G911" s="16"/>
    </row>
    <row r="912" spans="7:7" x14ac:dyDescent="0.25">
      <c r="G912" s="16"/>
    </row>
    <row r="913" spans="7:7" x14ac:dyDescent="0.25">
      <c r="G913" s="16"/>
    </row>
    <row r="914" spans="7:7" x14ac:dyDescent="0.25">
      <c r="G914" s="16"/>
    </row>
    <row r="915" spans="7:7" x14ac:dyDescent="0.25">
      <c r="G915" s="16"/>
    </row>
    <row r="916" spans="7:7" x14ac:dyDescent="0.25">
      <c r="G916" s="16"/>
    </row>
    <row r="917" spans="7:7" x14ac:dyDescent="0.25">
      <c r="G917" s="16"/>
    </row>
    <row r="918" spans="7:7" x14ac:dyDescent="0.25">
      <c r="G918" s="16"/>
    </row>
    <row r="919" spans="7:7" x14ac:dyDescent="0.25">
      <c r="G919" s="16"/>
    </row>
    <row r="920" spans="7:7" x14ac:dyDescent="0.25">
      <c r="G920" s="16"/>
    </row>
    <row r="921" spans="7:7" x14ac:dyDescent="0.25">
      <c r="G921" s="16"/>
    </row>
    <row r="922" spans="7:7" x14ac:dyDescent="0.25">
      <c r="G922" s="16"/>
    </row>
    <row r="923" spans="7:7" x14ac:dyDescent="0.25">
      <c r="G923" s="16"/>
    </row>
    <row r="924" spans="7:7" x14ac:dyDescent="0.25">
      <c r="G924" s="16"/>
    </row>
    <row r="925" spans="7:7" x14ac:dyDescent="0.25">
      <c r="G925" s="16"/>
    </row>
    <row r="926" spans="7:7" x14ac:dyDescent="0.25">
      <c r="G926" s="16"/>
    </row>
    <row r="927" spans="7:7" x14ac:dyDescent="0.25">
      <c r="G927" s="16"/>
    </row>
    <row r="928" spans="7:7" x14ac:dyDescent="0.25">
      <c r="G928" s="16"/>
    </row>
    <row r="929" spans="7:7" x14ac:dyDescent="0.25">
      <c r="G929" s="16"/>
    </row>
    <row r="930" spans="7:7" x14ac:dyDescent="0.25">
      <c r="G930" s="16"/>
    </row>
    <row r="931" spans="7:7" x14ac:dyDescent="0.25">
      <c r="G931" s="16"/>
    </row>
    <row r="932" spans="7:7" x14ac:dyDescent="0.25">
      <c r="G932" s="16"/>
    </row>
    <row r="933" spans="7:7" x14ac:dyDescent="0.25">
      <c r="G933" s="16"/>
    </row>
    <row r="934" spans="7:7" x14ac:dyDescent="0.25">
      <c r="G934" s="16"/>
    </row>
    <row r="935" spans="7:7" x14ac:dyDescent="0.25">
      <c r="G935" s="16"/>
    </row>
    <row r="936" spans="7:7" x14ac:dyDescent="0.25">
      <c r="G936" s="16"/>
    </row>
    <row r="937" spans="7:7" x14ac:dyDescent="0.25">
      <c r="G937" s="16"/>
    </row>
    <row r="938" spans="7:7" x14ac:dyDescent="0.25">
      <c r="G938" s="16"/>
    </row>
    <row r="939" spans="7:7" x14ac:dyDescent="0.25">
      <c r="G939" s="16"/>
    </row>
    <row r="940" spans="7:7" x14ac:dyDescent="0.25">
      <c r="G940" s="16"/>
    </row>
    <row r="941" spans="7:7" x14ac:dyDescent="0.25">
      <c r="G941" s="16"/>
    </row>
    <row r="942" spans="7:7" x14ac:dyDescent="0.25">
      <c r="G942" s="16"/>
    </row>
    <row r="943" spans="7:7" x14ac:dyDescent="0.25">
      <c r="G943" s="16"/>
    </row>
    <row r="944" spans="7:7" x14ac:dyDescent="0.25">
      <c r="G944" s="16"/>
    </row>
    <row r="945" spans="7:7" x14ac:dyDescent="0.25">
      <c r="G945" s="16"/>
    </row>
    <row r="946" spans="7:7" x14ac:dyDescent="0.25">
      <c r="G946" s="16"/>
    </row>
    <row r="947" spans="7:7" x14ac:dyDescent="0.25">
      <c r="G947" s="16"/>
    </row>
    <row r="948" spans="7:7" x14ac:dyDescent="0.25">
      <c r="G948" s="16"/>
    </row>
    <row r="949" spans="7:7" x14ac:dyDescent="0.25">
      <c r="G949" s="16"/>
    </row>
    <row r="950" spans="7:7" x14ac:dyDescent="0.25">
      <c r="G950" s="16"/>
    </row>
    <row r="951" spans="7:7" x14ac:dyDescent="0.25">
      <c r="G951" s="16"/>
    </row>
    <row r="952" spans="7:7" x14ac:dyDescent="0.25">
      <c r="G952" s="16"/>
    </row>
    <row r="953" spans="7:7" x14ac:dyDescent="0.25">
      <c r="G953" s="16"/>
    </row>
    <row r="954" spans="7:7" x14ac:dyDescent="0.25">
      <c r="G954" s="16"/>
    </row>
    <row r="955" spans="7:7" x14ac:dyDescent="0.25">
      <c r="G955" s="16"/>
    </row>
    <row r="956" spans="7:7" x14ac:dyDescent="0.25">
      <c r="G956" s="16"/>
    </row>
    <row r="957" spans="7:7" x14ac:dyDescent="0.25">
      <c r="G957" s="16"/>
    </row>
    <row r="958" spans="7:7" x14ac:dyDescent="0.25">
      <c r="G958" s="16"/>
    </row>
    <row r="959" spans="7:7" x14ac:dyDescent="0.25">
      <c r="G959" s="16"/>
    </row>
    <row r="960" spans="7:7" x14ac:dyDescent="0.25">
      <c r="G960" s="16"/>
    </row>
    <row r="961" spans="7:7" x14ac:dyDescent="0.25">
      <c r="G961" s="16"/>
    </row>
    <row r="962" spans="7:7" x14ac:dyDescent="0.25">
      <c r="G962" s="16"/>
    </row>
    <row r="963" spans="7:7" x14ac:dyDescent="0.25">
      <c r="G963" s="16"/>
    </row>
    <row r="964" spans="7:7" x14ac:dyDescent="0.25">
      <c r="G964" s="16"/>
    </row>
    <row r="965" spans="7:7" x14ac:dyDescent="0.25">
      <c r="G965" s="16"/>
    </row>
    <row r="966" spans="7:7" x14ac:dyDescent="0.25">
      <c r="G966" s="16"/>
    </row>
    <row r="967" spans="7:7" x14ac:dyDescent="0.25">
      <c r="G967" s="16"/>
    </row>
    <row r="968" spans="7:7" x14ac:dyDescent="0.25">
      <c r="G968" s="16"/>
    </row>
    <row r="969" spans="7:7" x14ac:dyDescent="0.25">
      <c r="G969" s="16"/>
    </row>
    <row r="970" spans="7:7" x14ac:dyDescent="0.25">
      <c r="G970" s="16"/>
    </row>
    <row r="971" spans="7:7" x14ac:dyDescent="0.25">
      <c r="G971" s="16"/>
    </row>
    <row r="972" spans="7:7" x14ac:dyDescent="0.25">
      <c r="G972" s="16"/>
    </row>
    <row r="973" spans="7:7" x14ac:dyDescent="0.25">
      <c r="G973" s="16"/>
    </row>
    <row r="974" spans="7:7" x14ac:dyDescent="0.25">
      <c r="G974" s="16"/>
    </row>
    <row r="975" spans="7:7" x14ac:dyDescent="0.25">
      <c r="G975" s="16"/>
    </row>
    <row r="976" spans="7:7" x14ac:dyDescent="0.25">
      <c r="G976" s="16"/>
    </row>
    <row r="977" spans="7:7" x14ac:dyDescent="0.25">
      <c r="G977" s="16"/>
    </row>
    <row r="978" spans="7:7" x14ac:dyDescent="0.25">
      <c r="G978" s="16"/>
    </row>
    <row r="979" spans="7:7" x14ac:dyDescent="0.25">
      <c r="G979" s="16"/>
    </row>
    <row r="980" spans="7:7" x14ac:dyDescent="0.25">
      <c r="G980" s="16"/>
    </row>
    <row r="981" spans="7:7" x14ac:dyDescent="0.25">
      <c r="G981" s="16"/>
    </row>
    <row r="982" spans="7:7" x14ac:dyDescent="0.25">
      <c r="G982" s="16"/>
    </row>
    <row r="983" spans="7:7" x14ac:dyDescent="0.25">
      <c r="G983" s="16"/>
    </row>
    <row r="984" spans="7:7" x14ac:dyDescent="0.25">
      <c r="G984" s="16"/>
    </row>
    <row r="985" spans="7:7" x14ac:dyDescent="0.25">
      <c r="G985" s="16"/>
    </row>
    <row r="986" spans="7:7" x14ac:dyDescent="0.25">
      <c r="G986" s="16"/>
    </row>
    <row r="987" spans="7:7" x14ac:dyDescent="0.25">
      <c r="G987" s="16"/>
    </row>
    <row r="988" spans="7:7" x14ac:dyDescent="0.25">
      <c r="G988" s="16"/>
    </row>
    <row r="989" spans="7:7" x14ac:dyDescent="0.25">
      <c r="G989" s="16"/>
    </row>
    <row r="990" spans="7:7" x14ac:dyDescent="0.25">
      <c r="G990" s="16"/>
    </row>
    <row r="991" spans="7:7" x14ac:dyDescent="0.25">
      <c r="G991" s="16"/>
    </row>
    <row r="992" spans="7:7" x14ac:dyDescent="0.25">
      <c r="G992" s="16"/>
    </row>
    <row r="993" spans="7:7" x14ac:dyDescent="0.25">
      <c r="G993" s="16"/>
    </row>
    <row r="994" spans="7:7" x14ac:dyDescent="0.25">
      <c r="G994" s="16"/>
    </row>
    <row r="995" spans="7:7" x14ac:dyDescent="0.25">
      <c r="G995" s="16"/>
    </row>
    <row r="996" spans="7:7" x14ac:dyDescent="0.25">
      <c r="G996" s="16"/>
    </row>
    <row r="997" spans="7:7" x14ac:dyDescent="0.25">
      <c r="G997" s="16"/>
    </row>
    <row r="998" spans="7:7" x14ac:dyDescent="0.25">
      <c r="G998" s="16"/>
    </row>
    <row r="999" spans="7:7" x14ac:dyDescent="0.25">
      <c r="G999" s="16"/>
    </row>
    <row r="1000" spans="7:7" x14ac:dyDescent="0.25">
      <c r="G1000" s="16"/>
    </row>
    <row r="1001" spans="7:7" x14ac:dyDescent="0.25">
      <c r="G1001" s="16"/>
    </row>
    <row r="1002" spans="7:7" x14ac:dyDescent="0.25">
      <c r="G1002" s="16"/>
    </row>
    <row r="1003" spans="7:7" x14ac:dyDescent="0.25">
      <c r="G1003" s="16"/>
    </row>
    <row r="1004" spans="7:7" x14ac:dyDescent="0.25">
      <c r="G1004" s="16"/>
    </row>
    <row r="1005" spans="7:7" x14ac:dyDescent="0.25">
      <c r="G1005" s="16"/>
    </row>
    <row r="1006" spans="7:7" x14ac:dyDescent="0.25">
      <c r="G1006" s="16"/>
    </row>
    <row r="1007" spans="7:7" x14ac:dyDescent="0.25">
      <c r="G1007" s="16"/>
    </row>
    <row r="1008" spans="7:7" x14ac:dyDescent="0.25">
      <c r="G1008" s="16"/>
    </row>
    <row r="1009" spans="7:7" x14ac:dyDescent="0.25">
      <c r="G1009" s="16"/>
    </row>
    <row r="1010" spans="7:7" x14ac:dyDescent="0.25">
      <c r="G1010" s="16"/>
    </row>
    <row r="1011" spans="7:7" x14ac:dyDescent="0.25">
      <c r="G1011" s="16"/>
    </row>
    <row r="1012" spans="7:7" x14ac:dyDescent="0.25">
      <c r="G1012" s="16"/>
    </row>
    <row r="1013" spans="7:7" x14ac:dyDescent="0.25">
      <c r="G1013" s="16"/>
    </row>
    <row r="1014" spans="7:7" x14ac:dyDescent="0.25">
      <c r="G1014" s="1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14"/>
  <sheetViews>
    <sheetView topLeftCell="E139" workbookViewId="0">
      <selection activeCell="H117" sqref="H117:K117"/>
    </sheetView>
  </sheetViews>
  <sheetFormatPr defaultColWidth="12.6640625" defaultRowHeight="15" customHeight="1" x14ac:dyDescent="0.25"/>
  <cols>
    <col min="1" max="1" width="25.6640625" bestFit="1" customWidth="1"/>
  </cols>
  <sheetData>
    <row r="1" spans="1:11" ht="39.6" x14ac:dyDescent="0.25">
      <c r="A1" s="18" t="s">
        <v>0</v>
      </c>
      <c r="B1" s="18" t="s">
        <v>1</v>
      </c>
      <c r="C1" s="19" t="s">
        <v>178</v>
      </c>
      <c r="D1" s="20" t="s">
        <v>184</v>
      </c>
      <c r="E1" s="19" t="s">
        <v>2</v>
      </c>
      <c r="F1" s="19" t="s">
        <v>3</v>
      </c>
      <c r="G1" s="21" t="s">
        <v>4</v>
      </c>
      <c r="H1" s="22" t="s">
        <v>179</v>
      </c>
      <c r="I1" s="18" t="s">
        <v>180</v>
      </c>
      <c r="J1" s="23" t="s">
        <v>181</v>
      </c>
      <c r="K1" s="18" t="s">
        <v>182</v>
      </c>
    </row>
    <row r="2" spans="1:11" ht="13.2" x14ac:dyDescent="0.25">
      <c r="A2" s="4" t="s">
        <v>5</v>
      </c>
      <c r="B2" s="4">
        <v>2</v>
      </c>
      <c r="C2" s="5" t="s">
        <v>183</v>
      </c>
      <c r="D2" s="5">
        <v>2</v>
      </c>
      <c r="E2" s="5" t="s">
        <v>6</v>
      </c>
      <c r="F2" s="6">
        <v>700</v>
      </c>
      <c r="G2" s="7">
        <f t="shared" ref="G2:G15" si="0">F2/220</f>
        <v>3.1818181818181817</v>
      </c>
      <c r="H2" s="16">
        <v>1.5</v>
      </c>
      <c r="I2" s="16">
        <v>1.5</v>
      </c>
      <c r="J2" s="16">
        <v>1.5</v>
      </c>
      <c r="K2" s="17">
        <v>6</v>
      </c>
    </row>
    <row r="3" spans="1:11" ht="13.2" x14ac:dyDescent="0.25">
      <c r="A3" s="4" t="s">
        <v>5</v>
      </c>
      <c r="B3" s="4">
        <v>3</v>
      </c>
      <c r="C3" s="5" t="s">
        <v>183</v>
      </c>
      <c r="D3" s="5">
        <v>2</v>
      </c>
      <c r="E3" s="5" t="s">
        <v>7</v>
      </c>
      <c r="F3" s="6">
        <v>1050</v>
      </c>
      <c r="G3" s="7">
        <f t="shared" si="0"/>
        <v>4.7727272727272725</v>
      </c>
      <c r="H3" s="16">
        <v>1.5</v>
      </c>
      <c r="I3" s="16">
        <v>1.5</v>
      </c>
      <c r="J3" s="16">
        <v>1.5</v>
      </c>
      <c r="K3" s="17">
        <v>6</v>
      </c>
    </row>
    <row r="4" spans="1:11" ht="13.2" x14ac:dyDescent="0.25">
      <c r="A4" s="4" t="s">
        <v>8</v>
      </c>
      <c r="B4" s="4">
        <v>1</v>
      </c>
      <c r="C4" s="5" t="s">
        <v>183</v>
      </c>
      <c r="D4" s="5">
        <v>2</v>
      </c>
      <c r="E4" s="5" t="s">
        <v>9</v>
      </c>
      <c r="F4" s="6">
        <v>1120</v>
      </c>
      <c r="G4" s="7">
        <f t="shared" si="0"/>
        <v>5.0909090909090908</v>
      </c>
      <c r="H4" s="16">
        <v>1.5</v>
      </c>
      <c r="I4" s="16">
        <v>1.5</v>
      </c>
      <c r="J4" s="16">
        <v>1.5</v>
      </c>
      <c r="K4" s="17">
        <v>6</v>
      </c>
    </row>
    <row r="5" spans="1:11" ht="13.2" x14ac:dyDescent="0.25">
      <c r="A5" s="4" t="s">
        <v>8</v>
      </c>
      <c r="B5" s="4">
        <v>1</v>
      </c>
      <c r="C5" s="5" t="s">
        <v>183</v>
      </c>
      <c r="D5" s="5">
        <v>2</v>
      </c>
      <c r="E5" s="5" t="s">
        <v>10</v>
      </c>
      <c r="F5" s="6">
        <v>1120</v>
      </c>
      <c r="G5" s="7">
        <f t="shared" si="0"/>
        <v>5.0909090909090908</v>
      </c>
      <c r="H5" s="16">
        <v>1.5</v>
      </c>
      <c r="I5" s="16">
        <v>1.5</v>
      </c>
      <c r="J5" s="16">
        <v>1.5</v>
      </c>
      <c r="K5" s="17">
        <v>6</v>
      </c>
    </row>
    <row r="6" spans="1:11" ht="13.2" x14ac:dyDescent="0.25">
      <c r="A6" s="4" t="s">
        <v>8</v>
      </c>
      <c r="B6" s="4">
        <v>1</v>
      </c>
      <c r="C6" s="5" t="s">
        <v>183</v>
      </c>
      <c r="D6" s="5">
        <v>2</v>
      </c>
      <c r="E6" s="5" t="s">
        <v>11</v>
      </c>
      <c r="F6" s="6">
        <v>1120</v>
      </c>
      <c r="G6" s="7">
        <f t="shared" si="0"/>
        <v>5.0909090909090908</v>
      </c>
      <c r="H6" s="16">
        <v>1.5</v>
      </c>
      <c r="I6" s="16">
        <v>1.5</v>
      </c>
      <c r="J6" s="16">
        <v>1.5</v>
      </c>
      <c r="K6" s="17">
        <v>6</v>
      </c>
    </row>
    <row r="7" spans="1:11" ht="13.2" x14ac:dyDescent="0.25">
      <c r="A7" s="4" t="s">
        <v>8</v>
      </c>
      <c r="B7" s="4">
        <v>1</v>
      </c>
      <c r="C7" s="5" t="s">
        <v>183</v>
      </c>
      <c r="D7" s="5">
        <v>2</v>
      </c>
      <c r="E7" s="5" t="s">
        <v>12</v>
      </c>
      <c r="F7" s="6">
        <v>1120</v>
      </c>
      <c r="G7" s="7">
        <f t="shared" si="0"/>
        <v>5.0909090909090908</v>
      </c>
      <c r="H7" s="16">
        <v>1.5</v>
      </c>
      <c r="I7" s="16">
        <v>1.5</v>
      </c>
      <c r="J7" s="16">
        <v>1.5</v>
      </c>
      <c r="K7" s="17">
        <v>6</v>
      </c>
    </row>
    <row r="8" spans="1:11" ht="13.2" x14ac:dyDescent="0.25">
      <c r="A8" s="4" t="s">
        <v>8</v>
      </c>
      <c r="B8" s="4">
        <v>1</v>
      </c>
      <c r="C8" s="5" t="s">
        <v>183</v>
      </c>
      <c r="D8" s="5">
        <v>2</v>
      </c>
      <c r="E8" s="5" t="s">
        <v>13</v>
      </c>
      <c r="F8" s="6">
        <v>1120</v>
      </c>
      <c r="G8" s="7">
        <f t="shared" si="0"/>
        <v>5.0909090909090908</v>
      </c>
      <c r="H8" s="16">
        <v>1.5</v>
      </c>
      <c r="I8" s="16">
        <v>1.5</v>
      </c>
      <c r="J8" s="16">
        <v>1.5</v>
      </c>
      <c r="K8" s="17">
        <v>6</v>
      </c>
    </row>
    <row r="9" spans="1:11" ht="13.2" x14ac:dyDescent="0.25">
      <c r="A9" s="4" t="s">
        <v>8</v>
      </c>
      <c r="B9" s="4">
        <v>1</v>
      </c>
      <c r="C9" s="5" t="s">
        <v>183</v>
      </c>
      <c r="D9" s="5">
        <v>2</v>
      </c>
      <c r="E9" s="5" t="s">
        <v>14</v>
      </c>
      <c r="F9" s="6">
        <v>1120</v>
      </c>
      <c r="G9" s="7">
        <f t="shared" si="0"/>
        <v>5.0909090909090908</v>
      </c>
      <c r="H9" s="16">
        <v>1.5</v>
      </c>
      <c r="I9" s="16">
        <v>1.5</v>
      </c>
      <c r="J9" s="16">
        <v>1.5</v>
      </c>
      <c r="K9" s="17">
        <v>6</v>
      </c>
    </row>
    <row r="10" spans="1:11" ht="13.2" x14ac:dyDescent="0.25">
      <c r="A10" s="4" t="s">
        <v>15</v>
      </c>
      <c r="B10" s="4">
        <v>1</v>
      </c>
      <c r="C10" s="5" t="s">
        <v>183</v>
      </c>
      <c r="D10" s="5">
        <v>2</v>
      </c>
      <c r="E10" s="5" t="s">
        <v>16</v>
      </c>
      <c r="F10" s="6">
        <v>1500</v>
      </c>
      <c r="G10" s="7">
        <f t="shared" si="0"/>
        <v>6.8181818181818183</v>
      </c>
      <c r="H10" s="16">
        <v>1.5</v>
      </c>
      <c r="I10" s="16">
        <v>1.5</v>
      </c>
      <c r="J10" s="16">
        <v>1.5</v>
      </c>
      <c r="K10" s="17">
        <v>10</v>
      </c>
    </row>
    <row r="11" spans="1:11" ht="13.2" x14ac:dyDescent="0.25">
      <c r="A11" s="8" t="s">
        <v>17</v>
      </c>
      <c r="B11" s="8">
        <v>1</v>
      </c>
      <c r="C11" s="5" t="s">
        <v>183</v>
      </c>
      <c r="D11" s="5">
        <v>2</v>
      </c>
      <c r="E11" s="5" t="s">
        <v>18</v>
      </c>
      <c r="F11" s="9">
        <v>2200</v>
      </c>
      <c r="G11" s="7">
        <f t="shared" si="0"/>
        <v>10</v>
      </c>
      <c r="H11" s="16">
        <v>1.5</v>
      </c>
      <c r="I11" s="16">
        <v>1.5</v>
      </c>
      <c r="J11" s="16">
        <v>1.5</v>
      </c>
      <c r="K11" s="17">
        <v>12</v>
      </c>
    </row>
    <row r="12" spans="1:11" ht="13.2" x14ac:dyDescent="0.25">
      <c r="A12" s="8" t="s">
        <v>17</v>
      </c>
      <c r="B12" s="8">
        <v>1</v>
      </c>
      <c r="C12" s="5" t="s">
        <v>183</v>
      </c>
      <c r="D12" s="5">
        <v>2</v>
      </c>
      <c r="E12" s="5" t="s">
        <v>19</v>
      </c>
      <c r="F12" s="9">
        <v>2200</v>
      </c>
      <c r="G12" s="7">
        <f t="shared" si="0"/>
        <v>10</v>
      </c>
      <c r="H12" s="16">
        <v>1.5</v>
      </c>
      <c r="I12" s="16">
        <v>1.5</v>
      </c>
      <c r="J12" s="16">
        <v>1.5</v>
      </c>
      <c r="K12" s="17">
        <v>12</v>
      </c>
    </row>
    <row r="13" spans="1:11" ht="13.2" x14ac:dyDescent="0.25">
      <c r="A13" s="8" t="s">
        <v>17</v>
      </c>
      <c r="B13" s="8">
        <v>1</v>
      </c>
      <c r="C13" s="5" t="s">
        <v>183</v>
      </c>
      <c r="D13" s="5">
        <v>2</v>
      </c>
      <c r="E13" s="5" t="s">
        <v>20</v>
      </c>
      <c r="F13" s="9">
        <v>2200</v>
      </c>
      <c r="G13" s="7">
        <f t="shared" si="0"/>
        <v>10</v>
      </c>
      <c r="H13" s="16">
        <v>1.5</v>
      </c>
      <c r="I13" s="16">
        <v>1.5</v>
      </c>
      <c r="J13" s="16">
        <v>1.5</v>
      </c>
      <c r="K13" s="17">
        <v>12</v>
      </c>
    </row>
    <row r="14" spans="1:11" ht="13.2" x14ac:dyDescent="0.25">
      <c r="A14" s="8" t="s">
        <v>17</v>
      </c>
      <c r="B14" s="8">
        <v>1</v>
      </c>
      <c r="C14" s="5" t="s">
        <v>183</v>
      </c>
      <c r="D14" s="5">
        <v>2</v>
      </c>
      <c r="E14" s="5" t="s">
        <v>21</v>
      </c>
      <c r="F14" s="9">
        <v>2200</v>
      </c>
      <c r="G14" s="7">
        <f t="shared" si="0"/>
        <v>10</v>
      </c>
      <c r="H14" s="16">
        <v>1.5</v>
      </c>
      <c r="I14" s="16">
        <v>1.5</v>
      </c>
      <c r="J14" s="16">
        <v>1.5</v>
      </c>
      <c r="K14" s="17">
        <v>12</v>
      </c>
    </row>
    <row r="15" spans="1:11" ht="13.2" x14ac:dyDescent="0.25">
      <c r="A15" s="8" t="s">
        <v>17</v>
      </c>
      <c r="B15" s="8">
        <v>1</v>
      </c>
      <c r="C15" s="5" t="s">
        <v>183</v>
      </c>
      <c r="D15" s="5">
        <v>2</v>
      </c>
      <c r="E15" s="5" t="s">
        <v>22</v>
      </c>
      <c r="F15" s="9">
        <v>2200</v>
      </c>
      <c r="G15" s="7">
        <f t="shared" si="0"/>
        <v>10</v>
      </c>
      <c r="H15" s="16">
        <v>1.5</v>
      </c>
      <c r="I15" s="16">
        <v>1.5</v>
      </c>
      <c r="J15" s="16">
        <v>1.5</v>
      </c>
      <c r="K15" s="17">
        <v>12</v>
      </c>
    </row>
    <row r="16" spans="1:11" ht="13.2" x14ac:dyDescent="0.25">
      <c r="A16" s="8"/>
      <c r="B16" s="8"/>
      <c r="C16" s="5"/>
      <c r="D16" s="5"/>
      <c r="E16" s="5"/>
      <c r="F16" s="9"/>
      <c r="G16" s="7"/>
      <c r="H16" s="16"/>
      <c r="I16" s="16"/>
      <c r="J16" s="16"/>
      <c r="K16" s="17"/>
    </row>
    <row r="17" spans="1:11" ht="13.2" x14ac:dyDescent="0.25">
      <c r="A17" s="8"/>
      <c r="B17" s="8"/>
      <c r="C17" s="5"/>
      <c r="D17" s="5"/>
      <c r="E17" s="5"/>
      <c r="F17" s="9"/>
      <c r="G17" s="7"/>
      <c r="H17" s="16"/>
      <c r="I17" s="16"/>
      <c r="J17" s="16"/>
      <c r="K17" s="17"/>
    </row>
    <row r="18" spans="1:11" ht="39.6" x14ac:dyDescent="0.25">
      <c r="A18" s="1" t="s">
        <v>23</v>
      </c>
      <c r="B18" s="18" t="s">
        <v>1</v>
      </c>
      <c r="C18" s="19" t="s">
        <v>178</v>
      </c>
      <c r="D18" s="20" t="s">
        <v>184</v>
      </c>
      <c r="E18" s="19" t="s">
        <v>2</v>
      </c>
      <c r="F18" s="19" t="s">
        <v>3</v>
      </c>
      <c r="G18" s="21" t="s">
        <v>4</v>
      </c>
      <c r="H18" s="22" t="s">
        <v>179</v>
      </c>
      <c r="I18" s="18" t="s">
        <v>180</v>
      </c>
      <c r="J18" s="23" t="s">
        <v>181</v>
      </c>
      <c r="K18" s="18" t="s">
        <v>182</v>
      </c>
    </row>
    <row r="19" spans="1:11" ht="13.2" x14ac:dyDescent="0.25">
      <c r="A19" s="4" t="s">
        <v>24</v>
      </c>
      <c r="B19" s="4">
        <v>1</v>
      </c>
      <c r="C19" s="5" t="s">
        <v>183</v>
      </c>
      <c r="D19" s="5">
        <v>2</v>
      </c>
      <c r="E19" s="4" t="s">
        <v>25</v>
      </c>
      <c r="F19" s="6">
        <v>3000</v>
      </c>
      <c r="G19" s="7">
        <f t="shared" ref="G19:G29" si="1">F19/220</f>
        <v>13.636363636363637</v>
      </c>
      <c r="H19" s="16">
        <v>1.5</v>
      </c>
      <c r="I19" s="16">
        <v>1.5</v>
      </c>
      <c r="J19" s="16">
        <v>1.5</v>
      </c>
      <c r="K19" s="17">
        <v>15</v>
      </c>
    </row>
    <row r="20" spans="1:11" ht="13.2" x14ac:dyDescent="0.25">
      <c r="A20" s="4" t="s">
        <v>24</v>
      </c>
      <c r="B20" s="4">
        <v>1</v>
      </c>
      <c r="C20" s="5" t="s">
        <v>183</v>
      </c>
      <c r="D20" s="5">
        <v>2</v>
      </c>
      <c r="E20" s="4" t="s">
        <v>26</v>
      </c>
      <c r="F20" s="6">
        <v>3000</v>
      </c>
      <c r="G20" s="7">
        <f t="shared" si="1"/>
        <v>13.636363636363637</v>
      </c>
      <c r="H20" s="16">
        <v>1.5</v>
      </c>
      <c r="I20" s="16">
        <v>1.5</v>
      </c>
      <c r="J20" s="16">
        <v>1.5</v>
      </c>
      <c r="K20" s="17">
        <v>15</v>
      </c>
    </row>
    <row r="21" spans="1:11" ht="13.2" x14ac:dyDescent="0.25">
      <c r="A21" s="4" t="s">
        <v>24</v>
      </c>
      <c r="B21" s="4">
        <v>1</v>
      </c>
      <c r="C21" s="5" t="s">
        <v>183</v>
      </c>
      <c r="D21" s="5">
        <v>2</v>
      </c>
      <c r="E21" s="4" t="s">
        <v>27</v>
      </c>
      <c r="F21" s="6">
        <v>3000</v>
      </c>
      <c r="G21" s="7">
        <f t="shared" si="1"/>
        <v>13.636363636363637</v>
      </c>
      <c r="H21" s="16">
        <v>1.5</v>
      </c>
      <c r="I21" s="16">
        <v>1.5</v>
      </c>
      <c r="J21" s="16">
        <v>1.5</v>
      </c>
      <c r="K21" s="17">
        <v>15</v>
      </c>
    </row>
    <row r="22" spans="1:11" ht="13.2" x14ac:dyDescent="0.25">
      <c r="A22" s="4" t="s">
        <v>24</v>
      </c>
      <c r="B22" s="4">
        <v>1</v>
      </c>
      <c r="C22" s="5" t="s">
        <v>183</v>
      </c>
      <c r="D22" s="5">
        <v>2</v>
      </c>
      <c r="E22" s="4" t="s">
        <v>28</v>
      </c>
      <c r="F22" s="6">
        <v>3000</v>
      </c>
      <c r="G22" s="7">
        <f t="shared" si="1"/>
        <v>13.636363636363637</v>
      </c>
      <c r="H22" s="16">
        <v>1.5</v>
      </c>
      <c r="I22" s="16">
        <v>1.5</v>
      </c>
      <c r="J22" s="16">
        <v>1.5</v>
      </c>
      <c r="K22" s="17">
        <v>15</v>
      </c>
    </row>
    <row r="23" spans="1:11" ht="13.2" x14ac:dyDescent="0.25">
      <c r="A23" s="4" t="s">
        <v>24</v>
      </c>
      <c r="B23" s="4">
        <v>1</v>
      </c>
      <c r="C23" s="5" t="s">
        <v>183</v>
      </c>
      <c r="D23" s="5">
        <v>2</v>
      </c>
      <c r="E23" s="4" t="s">
        <v>29</v>
      </c>
      <c r="F23" s="6">
        <v>3000</v>
      </c>
      <c r="G23" s="7">
        <f t="shared" si="1"/>
        <v>13.636363636363637</v>
      </c>
      <c r="H23" s="16">
        <v>1.5</v>
      </c>
      <c r="I23" s="16">
        <v>1.5</v>
      </c>
      <c r="J23" s="16">
        <v>1.5</v>
      </c>
      <c r="K23" s="17">
        <v>15</v>
      </c>
    </row>
    <row r="24" spans="1:11" ht="13.2" x14ac:dyDescent="0.25">
      <c r="A24" s="4" t="s">
        <v>30</v>
      </c>
      <c r="B24" s="4">
        <v>3</v>
      </c>
      <c r="C24" s="5" t="s">
        <v>183</v>
      </c>
      <c r="D24" s="5">
        <v>2</v>
      </c>
      <c r="E24" s="4" t="s">
        <v>31</v>
      </c>
      <c r="F24" s="6">
        <v>1350</v>
      </c>
      <c r="G24" s="7">
        <f t="shared" si="1"/>
        <v>6.1363636363636367</v>
      </c>
      <c r="H24" s="16">
        <v>1.5</v>
      </c>
      <c r="I24" s="16">
        <v>1.5</v>
      </c>
      <c r="J24" s="16">
        <v>1.5</v>
      </c>
      <c r="K24" s="17">
        <v>10</v>
      </c>
    </row>
    <row r="25" spans="1:11" ht="13.2" x14ac:dyDescent="0.25">
      <c r="A25" s="4" t="s">
        <v>30</v>
      </c>
      <c r="B25" s="4">
        <v>2</v>
      </c>
      <c r="C25" s="5" t="s">
        <v>183</v>
      </c>
      <c r="D25" s="5">
        <v>2</v>
      </c>
      <c r="E25" s="4" t="s">
        <v>32</v>
      </c>
      <c r="F25" s="6">
        <v>900</v>
      </c>
      <c r="G25" s="7">
        <f t="shared" si="1"/>
        <v>4.0909090909090908</v>
      </c>
      <c r="H25" s="16">
        <v>1.5</v>
      </c>
      <c r="I25" s="16">
        <v>1.5</v>
      </c>
      <c r="J25" s="16">
        <v>1.5</v>
      </c>
      <c r="K25" s="17">
        <v>6</v>
      </c>
    </row>
    <row r="26" spans="1:11" ht="13.2" x14ac:dyDescent="0.25">
      <c r="A26" s="4" t="s">
        <v>17</v>
      </c>
      <c r="B26" s="4">
        <v>1</v>
      </c>
      <c r="C26" s="5" t="s">
        <v>183</v>
      </c>
      <c r="D26" s="5">
        <v>2</v>
      </c>
      <c r="E26" s="4" t="s">
        <v>33</v>
      </c>
      <c r="F26" s="6">
        <v>2200</v>
      </c>
      <c r="G26" s="7">
        <f t="shared" si="1"/>
        <v>10</v>
      </c>
      <c r="H26" s="16">
        <v>1.5</v>
      </c>
      <c r="I26" s="16">
        <v>1.5</v>
      </c>
      <c r="J26" s="16">
        <v>1.5</v>
      </c>
      <c r="K26" s="17">
        <v>12</v>
      </c>
    </row>
    <row r="27" spans="1:11" ht="13.2" x14ac:dyDescent="0.25">
      <c r="A27" s="4" t="s">
        <v>17</v>
      </c>
      <c r="B27" s="4">
        <v>1</v>
      </c>
      <c r="C27" s="5" t="s">
        <v>183</v>
      </c>
      <c r="D27" s="5">
        <v>2</v>
      </c>
      <c r="E27" s="4" t="s">
        <v>34</v>
      </c>
      <c r="F27" s="6">
        <v>2200</v>
      </c>
      <c r="G27" s="7">
        <f t="shared" si="1"/>
        <v>10</v>
      </c>
      <c r="H27" s="16">
        <v>1.5</v>
      </c>
      <c r="I27" s="16">
        <v>1.5</v>
      </c>
      <c r="J27" s="16">
        <v>1.5</v>
      </c>
      <c r="K27" s="17">
        <v>12</v>
      </c>
    </row>
    <row r="28" spans="1:11" ht="13.2" x14ac:dyDescent="0.25">
      <c r="A28" s="4" t="s">
        <v>17</v>
      </c>
      <c r="B28" s="4">
        <v>1</v>
      </c>
      <c r="C28" s="5" t="s">
        <v>183</v>
      </c>
      <c r="D28" s="5">
        <v>2</v>
      </c>
      <c r="E28" s="4" t="s">
        <v>35</v>
      </c>
      <c r="F28" s="6">
        <v>2200</v>
      </c>
      <c r="G28" s="7">
        <f t="shared" si="1"/>
        <v>10</v>
      </c>
      <c r="H28" s="16">
        <v>1.5</v>
      </c>
      <c r="I28" s="16">
        <v>1.5</v>
      </c>
      <c r="J28" s="16">
        <v>1.5</v>
      </c>
      <c r="K28" s="17">
        <v>12</v>
      </c>
    </row>
    <row r="29" spans="1:11" ht="13.2" x14ac:dyDescent="0.25">
      <c r="A29" s="4" t="s">
        <v>17</v>
      </c>
      <c r="B29" s="4">
        <v>1</v>
      </c>
      <c r="C29" s="5" t="s">
        <v>183</v>
      </c>
      <c r="D29" s="5">
        <v>2</v>
      </c>
      <c r="E29" s="4" t="s">
        <v>36</v>
      </c>
      <c r="F29" s="6">
        <v>2200</v>
      </c>
      <c r="G29" s="7">
        <f t="shared" si="1"/>
        <v>10</v>
      </c>
      <c r="H29" s="16">
        <v>1.5</v>
      </c>
      <c r="I29" s="16">
        <v>1.5</v>
      </c>
      <c r="J29" s="16">
        <v>1.5</v>
      </c>
      <c r="K29" s="17">
        <v>12</v>
      </c>
    </row>
    <row r="30" spans="1:11" ht="13.2" x14ac:dyDescent="0.25">
      <c r="A30" s="4"/>
      <c r="B30" s="4"/>
      <c r="C30" s="5"/>
      <c r="D30" s="5"/>
      <c r="E30" s="4"/>
      <c r="F30" s="6"/>
      <c r="G30" s="7"/>
      <c r="H30" s="16"/>
      <c r="I30" s="16"/>
      <c r="J30" s="16"/>
      <c r="K30" s="17"/>
    </row>
    <row r="31" spans="1:11" ht="13.2" x14ac:dyDescent="0.25">
      <c r="A31" s="4"/>
      <c r="B31" s="4"/>
      <c r="C31" s="5"/>
      <c r="D31" s="5"/>
      <c r="E31" s="4"/>
      <c r="F31" s="6"/>
      <c r="G31" s="7"/>
      <c r="H31" s="16"/>
      <c r="I31" s="16"/>
      <c r="J31" s="16"/>
      <c r="K31" s="17"/>
    </row>
    <row r="32" spans="1:11" ht="39.6" x14ac:dyDescent="0.25">
      <c r="A32" s="1" t="s">
        <v>37</v>
      </c>
      <c r="B32" s="18" t="s">
        <v>1</v>
      </c>
      <c r="C32" s="19" t="s">
        <v>178</v>
      </c>
      <c r="D32" s="20" t="s">
        <v>184</v>
      </c>
      <c r="E32" s="19" t="s">
        <v>2</v>
      </c>
      <c r="F32" s="19" t="s">
        <v>3</v>
      </c>
      <c r="G32" s="21" t="s">
        <v>4</v>
      </c>
      <c r="H32" s="22" t="s">
        <v>179</v>
      </c>
      <c r="I32" s="18" t="s">
        <v>180</v>
      </c>
      <c r="J32" s="23" t="s">
        <v>181</v>
      </c>
      <c r="K32" s="18" t="s">
        <v>182</v>
      </c>
    </row>
    <row r="33" spans="1:11" ht="13.2" x14ac:dyDescent="0.25">
      <c r="A33" s="4" t="s">
        <v>38</v>
      </c>
      <c r="B33" s="4">
        <v>2</v>
      </c>
      <c r="C33" s="5" t="s">
        <v>183</v>
      </c>
      <c r="D33" s="5">
        <v>2</v>
      </c>
      <c r="E33" s="4" t="s">
        <v>39</v>
      </c>
      <c r="F33" s="6">
        <v>1140</v>
      </c>
      <c r="G33" s="7">
        <f t="shared" ref="G33:G62" si="2">F33/220</f>
        <v>5.1818181818181817</v>
      </c>
      <c r="H33" s="16">
        <v>1.5</v>
      </c>
      <c r="I33" s="16">
        <v>1.5</v>
      </c>
      <c r="J33" s="16">
        <v>1.5</v>
      </c>
      <c r="K33" s="17">
        <v>6</v>
      </c>
    </row>
    <row r="34" spans="1:11" ht="13.2" x14ac:dyDescent="0.25">
      <c r="A34" s="4" t="s">
        <v>40</v>
      </c>
      <c r="B34" s="4">
        <v>1</v>
      </c>
      <c r="C34" s="5" t="s">
        <v>183</v>
      </c>
      <c r="D34" s="5">
        <v>2</v>
      </c>
      <c r="E34" s="4" t="s">
        <v>41</v>
      </c>
      <c r="F34" s="6">
        <v>9000</v>
      </c>
      <c r="G34" s="7">
        <f t="shared" si="2"/>
        <v>40.909090909090907</v>
      </c>
      <c r="H34" s="16">
        <v>10</v>
      </c>
      <c r="I34" s="16">
        <v>10</v>
      </c>
      <c r="J34" s="16">
        <v>10</v>
      </c>
      <c r="K34" s="17">
        <v>50</v>
      </c>
    </row>
    <row r="35" spans="1:11" ht="13.2" x14ac:dyDescent="0.25">
      <c r="A35" s="4" t="s">
        <v>40</v>
      </c>
      <c r="B35" s="4">
        <v>1</v>
      </c>
      <c r="C35" s="5" t="s">
        <v>183</v>
      </c>
      <c r="D35" s="5">
        <v>2</v>
      </c>
      <c r="E35" s="4" t="s">
        <v>42</v>
      </c>
      <c r="F35" s="6">
        <v>9000</v>
      </c>
      <c r="G35" s="7">
        <f t="shared" si="2"/>
        <v>40.909090909090907</v>
      </c>
      <c r="H35" s="16">
        <v>10</v>
      </c>
      <c r="I35" s="16">
        <v>10</v>
      </c>
      <c r="J35" s="16">
        <v>10</v>
      </c>
      <c r="K35" s="17">
        <v>50</v>
      </c>
    </row>
    <row r="36" spans="1:11" ht="13.2" x14ac:dyDescent="0.25">
      <c r="A36" s="4" t="s">
        <v>40</v>
      </c>
      <c r="B36" s="4">
        <v>1</v>
      </c>
      <c r="C36" s="5" t="s">
        <v>183</v>
      </c>
      <c r="D36" s="5">
        <v>2</v>
      </c>
      <c r="E36" s="4" t="s">
        <v>43</v>
      </c>
      <c r="F36" s="6">
        <v>9000</v>
      </c>
      <c r="G36" s="7">
        <f t="shared" si="2"/>
        <v>40.909090909090907</v>
      </c>
      <c r="H36" s="16">
        <v>10</v>
      </c>
      <c r="I36" s="16">
        <v>10</v>
      </c>
      <c r="J36" s="16">
        <v>10</v>
      </c>
      <c r="K36" s="17">
        <v>50</v>
      </c>
    </row>
    <row r="37" spans="1:11" ht="13.2" x14ac:dyDescent="0.25">
      <c r="A37" s="4" t="s">
        <v>40</v>
      </c>
      <c r="B37" s="4">
        <v>1</v>
      </c>
      <c r="C37" s="5" t="s">
        <v>183</v>
      </c>
      <c r="D37" s="5">
        <v>2</v>
      </c>
      <c r="E37" s="4" t="s">
        <v>44</v>
      </c>
      <c r="F37" s="6">
        <v>9000</v>
      </c>
      <c r="G37" s="7">
        <f t="shared" si="2"/>
        <v>40.909090909090907</v>
      </c>
      <c r="H37" s="16">
        <v>10</v>
      </c>
      <c r="I37" s="16">
        <v>10</v>
      </c>
      <c r="J37" s="16">
        <v>10</v>
      </c>
      <c r="K37" s="17">
        <v>50</v>
      </c>
    </row>
    <row r="38" spans="1:11" ht="13.2" x14ac:dyDescent="0.25">
      <c r="A38" s="4" t="s">
        <v>45</v>
      </c>
      <c r="B38" s="4">
        <v>1</v>
      </c>
      <c r="C38" s="5" t="s">
        <v>183</v>
      </c>
      <c r="D38" s="5">
        <v>2</v>
      </c>
      <c r="E38" s="4" t="s">
        <v>46</v>
      </c>
      <c r="F38" s="6">
        <v>4000</v>
      </c>
      <c r="G38" s="7">
        <f t="shared" si="2"/>
        <v>18.181818181818183</v>
      </c>
      <c r="H38" s="16">
        <v>2.5</v>
      </c>
      <c r="I38" s="16">
        <v>2.5</v>
      </c>
      <c r="J38" s="16">
        <v>2.5</v>
      </c>
      <c r="K38" s="17">
        <v>20</v>
      </c>
    </row>
    <row r="39" spans="1:11" ht="13.2" x14ac:dyDescent="0.25">
      <c r="A39" s="4" t="s">
        <v>45</v>
      </c>
      <c r="B39" s="4">
        <v>1</v>
      </c>
      <c r="C39" s="5" t="s">
        <v>183</v>
      </c>
      <c r="D39" s="5">
        <v>2</v>
      </c>
      <c r="E39" s="4" t="s">
        <v>47</v>
      </c>
      <c r="F39" s="6">
        <v>4000</v>
      </c>
      <c r="G39" s="7">
        <f t="shared" si="2"/>
        <v>18.181818181818183</v>
      </c>
      <c r="H39" s="16">
        <v>2.5</v>
      </c>
      <c r="I39" s="16">
        <v>2.5</v>
      </c>
      <c r="J39" s="16">
        <v>2.5</v>
      </c>
      <c r="K39" s="17">
        <v>20</v>
      </c>
    </row>
    <row r="40" spans="1:11" ht="13.2" x14ac:dyDescent="0.25">
      <c r="A40" s="4" t="s">
        <v>45</v>
      </c>
      <c r="B40" s="4">
        <v>1</v>
      </c>
      <c r="C40" s="5" t="s">
        <v>183</v>
      </c>
      <c r="D40" s="5">
        <v>2</v>
      </c>
      <c r="E40" s="4" t="s">
        <v>48</v>
      </c>
      <c r="F40" s="6">
        <v>4000</v>
      </c>
      <c r="G40" s="7">
        <f t="shared" si="2"/>
        <v>18.181818181818183</v>
      </c>
      <c r="H40" s="16">
        <v>2.5</v>
      </c>
      <c r="I40" s="16">
        <v>2.5</v>
      </c>
      <c r="J40" s="16">
        <v>2.5</v>
      </c>
      <c r="K40" s="17">
        <v>20</v>
      </c>
    </row>
    <row r="41" spans="1:11" ht="13.2" x14ac:dyDescent="0.25">
      <c r="A41" s="4" t="s">
        <v>45</v>
      </c>
      <c r="B41" s="4">
        <v>1</v>
      </c>
      <c r="C41" s="5" t="s">
        <v>183</v>
      </c>
      <c r="D41" s="5">
        <v>2</v>
      </c>
      <c r="E41" s="4" t="s">
        <v>49</v>
      </c>
      <c r="F41" s="6">
        <v>4000</v>
      </c>
      <c r="G41" s="7">
        <f t="shared" si="2"/>
        <v>18.181818181818183</v>
      </c>
      <c r="H41" s="16">
        <v>2.5</v>
      </c>
      <c r="I41" s="16">
        <v>2.5</v>
      </c>
      <c r="J41" s="16">
        <v>2.5</v>
      </c>
      <c r="K41" s="17">
        <v>20</v>
      </c>
    </row>
    <row r="42" spans="1:11" ht="13.2" x14ac:dyDescent="0.25">
      <c r="A42" s="4" t="s">
        <v>50</v>
      </c>
      <c r="B42" s="4">
        <v>1</v>
      </c>
      <c r="C42" s="5" t="s">
        <v>183</v>
      </c>
      <c r="D42" s="5">
        <v>2</v>
      </c>
      <c r="E42" s="4" t="s">
        <v>51</v>
      </c>
      <c r="F42" s="6">
        <v>70000</v>
      </c>
      <c r="G42" s="7">
        <f t="shared" si="2"/>
        <v>318.18181818181819</v>
      </c>
      <c r="H42" s="16">
        <v>185</v>
      </c>
      <c r="I42" s="16">
        <v>95</v>
      </c>
      <c r="J42" s="16">
        <v>95</v>
      </c>
      <c r="K42" s="17">
        <v>320</v>
      </c>
    </row>
    <row r="43" spans="1:11" ht="13.2" x14ac:dyDescent="0.25">
      <c r="A43" s="4" t="s">
        <v>52</v>
      </c>
      <c r="B43" s="4">
        <v>5</v>
      </c>
      <c r="C43" s="5" t="s">
        <v>183</v>
      </c>
      <c r="D43" s="5">
        <v>2</v>
      </c>
      <c r="E43" s="4" t="s">
        <v>53</v>
      </c>
      <c r="F43" s="6">
        <v>1080</v>
      </c>
      <c r="G43" s="7">
        <f t="shared" si="2"/>
        <v>4.9090909090909092</v>
      </c>
      <c r="H43" s="16">
        <v>1.5</v>
      </c>
      <c r="I43" s="16">
        <v>1.5</v>
      </c>
      <c r="J43" s="16">
        <v>1.5</v>
      </c>
      <c r="K43" s="17">
        <v>6</v>
      </c>
    </row>
    <row r="44" spans="1:11" ht="13.2" x14ac:dyDescent="0.25">
      <c r="A44" s="4" t="s">
        <v>52</v>
      </c>
      <c r="B44" s="4">
        <v>2</v>
      </c>
      <c r="C44" s="5" t="s">
        <v>183</v>
      </c>
      <c r="D44" s="5">
        <v>2</v>
      </c>
      <c r="E44" s="4" t="s">
        <v>54</v>
      </c>
      <c r="F44" s="6">
        <v>720</v>
      </c>
      <c r="G44" s="7">
        <f t="shared" si="2"/>
        <v>3.2727272727272729</v>
      </c>
      <c r="H44" s="16">
        <v>1.5</v>
      </c>
      <c r="I44" s="16">
        <v>1.5</v>
      </c>
      <c r="J44" s="16">
        <v>1.5</v>
      </c>
      <c r="K44" s="17">
        <v>6</v>
      </c>
    </row>
    <row r="45" spans="1:11" ht="13.2" x14ac:dyDescent="0.25">
      <c r="A45" s="4" t="s">
        <v>55</v>
      </c>
      <c r="B45" s="4">
        <v>3</v>
      </c>
      <c r="C45" s="5" t="s">
        <v>183</v>
      </c>
      <c r="D45" s="5">
        <v>2</v>
      </c>
      <c r="E45" s="4" t="s">
        <v>56</v>
      </c>
      <c r="F45" s="4">
        <v>2400</v>
      </c>
      <c r="G45" s="7">
        <f t="shared" si="2"/>
        <v>10.909090909090908</v>
      </c>
      <c r="H45" s="16">
        <v>1.5</v>
      </c>
      <c r="I45" s="16">
        <v>1.5</v>
      </c>
      <c r="J45" s="16">
        <v>1.5</v>
      </c>
      <c r="K45" s="17">
        <v>12</v>
      </c>
    </row>
    <row r="46" spans="1:11" ht="13.2" x14ac:dyDescent="0.25">
      <c r="A46" s="4" t="s">
        <v>55</v>
      </c>
      <c r="B46" s="4">
        <v>2</v>
      </c>
      <c r="C46" s="5" t="s">
        <v>183</v>
      </c>
      <c r="D46" s="5">
        <v>2</v>
      </c>
      <c r="E46" s="4" t="s">
        <v>57</v>
      </c>
      <c r="F46" s="4">
        <v>1600</v>
      </c>
      <c r="G46" s="7">
        <f t="shared" si="2"/>
        <v>7.2727272727272725</v>
      </c>
      <c r="H46" s="16">
        <v>1.5</v>
      </c>
      <c r="I46" s="16">
        <v>1.5</v>
      </c>
      <c r="J46" s="16">
        <v>1.5</v>
      </c>
      <c r="K46" s="17">
        <v>10</v>
      </c>
    </row>
    <row r="47" spans="1:11" ht="13.2" x14ac:dyDescent="0.25">
      <c r="A47" s="4" t="s">
        <v>58</v>
      </c>
      <c r="B47" s="4">
        <v>5</v>
      </c>
      <c r="C47" s="5" t="s">
        <v>183</v>
      </c>
      <c r="D47" s="5">
        <v>2</v>
      </c>
      <c r="E47" s="4" t="s">
        <v>59</v>
      </c>
      <c r="F47" s="6">
        <v>1000</v>
      </c>
      <c r="G47" s="7">
        <f t="shared" si="2"/>
        <v>4.5454545454545459</v>
      </c>
      <c r="H47" s="16">
        <v>1.5</v>
      </c>
      <c r="I47" s="16">
        <v>1.5</v>
      </c>
      <c r="J47" s="16">
        <v>1.5</v>
      </c>
      <c r="K47" s="17">
        <v>6</v>
      </c>
    </row>
    <row r="48" spans="1:11" ht="13.2" x14ac:dyDescent="0.25">
      <c r="A48" s="4" t="s">
        <v>60</v>
      </c>
      <c r="B48" s="4">
        <v>1</v>
      </c>
      <c r="C48" s="5" t="s">
        <v>183</v>
      </c>
      <c r="D48" s="5">
        <v>2</v>
      </c>
      <c r="E48" s="4" t="s">
        <v>61</v>
      </c>
      <c r="F48" s="6">
        <v>1000</v>
      </c>
      <c r="G48" s="7">
        <f t="shared" si="2"/>
        <v>4.5454545454545459</v>
      </c>
      <c r="H48" s="16">
        <v>1.5</v>
      </c>
      <c r="I48" s="16">
        <v>1.5</v>
      </c>
      <c r="J48" s="16">
        <v>1.5</v>
      </c>
      <c r="K48" s="17">
        <v>6</v>
      </c>
    </row>
    <row r="49" spans="1:11" ht="13.2" x14ac:dyDescent="0.25">
      <c r="A49" s="4" t="s">
        <v>60</v>
      </c>
      <c r="B49" s="4">
        <v>1</v>
      </c>
      <c r="C49" s="5" t="s">
        <v>183</v>
      </c>
      <c r="D49" s="5">
        <v>2</v>
      </c>
      <c r="E49" s="4" t="s">
        <v>62</v>
      </c>
      <c r="F49" s="6">
        <v>1000</v>
      </c>
      <c r="G49" s="7">
        <f t="shared" si="2"/>
        <v>4.5454545454545459</v>
      </c>
      <c r="H49" s="16">
        <v>1.5</v>
      </c>
      <c r="I49" s="16">
        <v>1.5</v>
      </c>
      <c r="J49" s="16">
        <v>1.5</v>
      </c>
      <c r="K49" s="17">
        <v>6</v>
      </c>
    </row>
    <row r="50" spans="1:11" ht="13.2" x14ac:dyDescent="0.25">
      <c r="A50" s="4" t="s">
        <v>60</v>
      </c>
      <c r="B50" s="4">
        <v>1</v>
      </c>
      <c r="C50" s="5" t="s">
        <v>183</v>
      </c>
      <c r="D50" s="5">
        <v>2</v>
      </c>
      <c r="E50" s="4" t="s">
        <v>63</v>
      </c>
      <c r="F50" s="6">
        <v>1000</v>
      </c>
      <c r="G50" s="7">
        <f t="shared" si="2"/>
        <v>4.5454545454545459</v>
      </c>
      <c r="H50" s="16">
        <v>1.5</v>
      </c>
      <c r="I50" s="16">
        <v>1.5</v>
      </c>
      <c r="J50" s="16">
        <v>1.5</v>
      </c>
      <c r="K50" s="17">
        <v>6</v>
      </c>
    </row>
    <row r="51" spans="1:11" ht="13.2" x14ac:dyDescent="0.25">
      <c r="A51" s="4" t="s">
        <v>64</v>
      </c>
      <c r="B51" s="4">
        <v>3</v>
      </c>
      <c r="C51" s="5" t="s">
        <v>183</v>
      </c>
      <c r="D51" s="5">
        <v>2</v>
      </c>
      <c r="E51" s="4" t="s">
        <v>65</v>
      </c>
      <c r="F51" s="6">
        <v>1380</v>
      </c>
      <c r="G51" s="7">
        <f t="shared" si="2"/>
        <v>6.2727272727272725</v>
      </c>
      <c r="H51" s="16">
        <v>1.5</v>
      </c>
      <c r="I51" s="16">
        <v>1.5</v>
      </c>
      <c r="J51" s="16">
        <v>1.5</v>
      </c>
      <c r="K51" s="17">
        <v>10</v>
      </c>
    </row>
    <row r="52" spans="1:11" ht="13.2" x14ac:dyDescent="0.25">
      <c r="A52" s="4" t="s">
        <v>64</v>
      </c>
      <c r="B52" s="4">
        <v>2</v>
      </c>
      <c r="C52" s="5" t="s">
        <v>183</v>
      </c>
      <c r="D52" s="5">
        <v>2</v>
      </c>
      <c r="E52" s="4" t="s">
        <v>66</v>
      </c>
      <c r="F52" s="6">
        <v>920</v>
      </c>
      <c r="G52" s="7">
        <f t="shared" si="2"/>
        <v>4.1818181818181817</v>
      </c>
      <c r="H52" s="16">
        <v>1.5</v>
      </c>
      <c r="I52" s="16">
        <v>1.5</v>
      </c>
      <c r="J52" s="16">
        <v>1.5</v>
      </c>
      <c r="K52" s="17">
        <v>6</v>
      </c>
    </row>
    <row r="53" spans="1:11" ht="13.2" x14ac:dyDescent="0.25">
      <c r="A53" s="4" t="s">
        <v>67</v>
      </c>
      <c r="B53" s="4">
        <v>4</v>
      </c>
      <c r="C53" s="5" t="s">
        <v>183</v>
      </c>
      <c r="D53" s="5">
        <v>2</v>
      </c>
      <c r="E53" s="4" t="s">
        <v>68</v>
      </c>
      <c r="F53" s="4">
        <v>740</v>
      </c>
      <c r="G53" s="7">
        <f t="shared" si="2"/>
        <v>3.3636363636363638</v>
      </c>
      <c r="H53" s="16">
        <v>1.5</v>
      </c>
      <c r="I53" s="16">
        <v>1.5</v>
      </c>
      <c r="J53" s="16">
        <v>1.5</v>
      </c>
      <c r="K53" s="17">
        <v>6</v>
      </c>
    </row>
    <row r="54" spans="1:11" ht="13.2" x14ac:dyDescent="0.25">
      <c r="A54" s="4" t="s">
        <v>69</v>
      </c>
      <c r="B54" s="4">
        <v>1</v>
      </c>
      <c r="C54" s="5" t="s">
        <v>183</v>
      </c>
      <c r="D54" s="5">
        <v>2</v>
      </c>
      <c r="E54" s="4" t="s">
        <v>70</v>
      </c>
      <c r="F54" s="6">
        <v>2184</v>
      </c>
      <c r="G54" s="7">
        <f t="shared" si="2"/>
        <v>9.9272727272727277</v>
      </c>
      <c r="H54" s="16">
        <v>1.5</v>
      </c>
      <c r="I54" s="16">
        <v>1.5</v>
      </c>
      <c r="J54" s="16">
        <v>1.5</v>
      </c>
      <c r="K54" s="17">
        <v>12</v>
      </c>
    </row>
    <row r="55" spans="1:11" ht="13.2" x14ac:dyDescent="0.25">
      <c r="A55" s="4" t="s">
        <v>69</v>
      </c>
      <c r="B55" s="4">
        <v>1</v>
      </c>
      <c r="C55" s="5" t="s">
        <v>183</v>
      </c>
      <c r="D55" s="5">
        <v>2</v>
      </c>
      <c r="E55" s="4" t="s">
        <v>71</v>
      </c>
      <c r="F55" s="6">
        <v>2184</v>
      </c>
      <c r="G55" s="7">
        <f t="shared" si="2"/>
        <v>9.9272727272727277</v>
      </c>
      <c r="H55" s="16">
        <v>1.5</v>
      </c>
      <c r="I55" s="16">
        <v>1.5</v>
      </c>
      <c r="J55" s="16">
        <v>1.5</v>
      </c>
      <c r="K55" s="17">
        <v>12</v>
      </c>
    </row>
    <row r="56" spans="1:11" ht="13.2" x14ac:dyDescent="0.25">
      <c r="A56" s="4" t="s">
        <v>72</v>
      </c>
      <c r="B56" s="4">
        <v>1</v>
      </c>
      <c r="C56" s="5" t="s">
        <v>183</v>
      </c>
      <c r="D56" s="5">
        <v>2</v>
      </c>
      <c r="E56" s="4" t="s">
        <v>73</v>
      </c>
      <c r="F56" s="6">
        <v>2200</v>
      </c>
      <c r="G56" s="7">
        <f t="shared" si="2"/>
        <v>10</v>
      </c>
      <c r="H56" s="16">
        <v>1.5</v>
      </c>
      <c r="I56" s="16">
        <v>1.5</v>
      </c>
      <c r="J56" s="16">
        <v>1.5</v>
      </c>
      <c r="K56" s="17">
        <v>12</v>
      </c>
    </row>
    <row r="57" spans="1:11" ht="13.2" x14ac:dyDescent="0.25">
      <c r="A57" s="4" t="s">
        <v>72</v>
      </c>
      <c r="B57" s="4">
        <v>1</v>
      </c>
      <c r="C57" s="5" t="s">
        <v>183</v>
      </c>
      <c r="D57" s="5">
        <v>2</v>
      </c>
      <c r="E57" s="4" t="s">
        <v>74</v>
      </c>
      <c r="F57" s="6">
        <v>2200</v>
      </c>
      <c r="G57" s="7">
        <f t="shared" si="2"/>
        <v>10</v>
      </c>
      <c r="H57" s="16">
        <v>1.5</v>
      </c>
      <c r="I57" s="16">
        <v>1.5</v>
      </c>
      <c r="J57" s="16">
        <v>1.5</v>
      </c>
      <c r="K57" s="17">
        <v>12</v>
      </c>
    </row>
    <row r="58" spans="1:11" ht="13.2" x14ac:dyDescent="0.25">
      <c r="A58" s="4" t="s">
        <v>72</v>
      </c>
      <c r="B58" s="4">
        <v>1</v>
      </c>
      <c r="C58" s="5" t="s">
        <v>183</v>
      </c>
      <c r="D58" s="5">
        <v>2</v>
      </c>
      <c r="E58" s="4" t="s">
        <v>75</v>
      </c>
      <c r="F58" s="6">
        <v>2200</v>
      </c>
      <c r="G58" s="7">
        <f t="shared" si="2"/>
        <v>10</v>
      </c>
      <c r="H58" s="16">
        <v>1.5</v>
      </c>
      <c r="I58" s="16">
        <v>1.5</v>
      </c>
      <c r="J58" s="16">
        <v>1.5</v>
      </c>
      <c r="K58" s="17">
        <v>12</v>
      </c>
    </row>
    <row r="59" spans="1:11" ht="13.2" x14ac:dyDescent="0.25">
      <c r="A59" s="4" t="s">
        <v>72</v>
      </c>
      <c r="B59" s="4">
        <v>1</v>
      </c>
      <c r="C59" s="5" t="s">
        <v>183</v>
      </c>
      <c r="D59" s="5">
        <v>2</v>
      </c>
      <c r="E59" s="4" t="s">
        <v>76</v>
      </c>
      <c r="F59" s="6">
        <v>2200</v>
      </c>
      <c r="G59" s="7">
        <f t="shared" si="2"/>
        <v>10</v>
      </c>
      <c r="H59" s="16">
        <v>1.5</v>
      </c>
      <c r="I59" s="16">
        <v>1.5</v>
      </c>
      <c r="J59" s="16">
        <v>1.5</v>
      </c>
      <c r="K59" s="17">
        <v>12</v>
      </c>
    </row>
    <row r="60" spans="1:11" ht="13.2" x14ac:dyDescent="0.25">
      <c r="A60" s="4" t="s">
        <v>72</v>
      </c>
      <c r="B60" s="4">
        <v>1</v>
      </c>
      <c r="C60" s="5" t="s">
        <v>183</v>
      </c>
      <c r="D60" s="5">
        <v>2</v>
      </c>
      <c r="E60" s="4" t="s">
        <v>77</v>
      </c>
      <c r="F60" s="6">
        <v>2200</v>
      </c>
      <c r="G60" s="7">
        <f t="shared" si="2"/>
        <v>10</v>
      </c>
      <c r="H60" s="16">
        <v>1.5</v>
      </c>
      <c r="I60" s="16">
        <v>1.5</v>
      </c>
      <c r="J60" s="16">
        <v>1.5</v>
      </c>
      <c r="K60" s="17">
        <v>12</v>
      </c>
    </row>
    <row r="61" spans="1:11" ht="13.2" x14ac:dyDescent="0.25">
      <c r="A61" s="4" t="s">
        <v>72</v>
      </c>
      <c r="B61" s="4">
        <v>1</v>
      </c>
      <c r="C61" s="5" t="s">
        <v>183</v>
      </c>
      <c r="D61" s="5">
        <v>2</v>
      </c>
      <c r="E61" s="4" t="s">
        <v>78</v>
      </c>
      <c r="F61" s="6">
        <v>2200</v>
      </c>
      <c r="G61" s="7">
        <f t="shared" si="2"/>
        <v>10</v>
      </c>
      <c r="H61" s="16">
        <v>1.5</v>
      </c>
      <c r="I61" s="16">
        <v>1.5</v>
      </c>
      <c r="J61" s="16">
        <v>1.5</v>
      </c>
      <c r="K61" s="17">
        <v>12</v>
      </c>
    </row>
    <row r="62" spans="1:11" ht="13.2" x14ac:dyDescent="0.25">
      <c r="A62" s="4" t="s">
        <v>72</v>
      </c>
      <c r="B62" s="4">
        <v>1</v>
      </c>
      <c r="C62" s="5" t="s">
        <v>183</v>
      </c>
      <c r="D62" s="5">
        <v>2</v>
      </c>
      <c r="E62" s="4" t="s">
        <v>79</v>
      </c>
      <c r="F62" s="6">
        <v>2200</v>
      </c>
      <c r="G62" s="7">
        <f t="shared" si="2"/>
        <v>10</v>
      </c>
      <c r="H62" s="16">
        <v>1.5</v>
      </c>
      <c r="I62" s="16">
        <v>1.5</v>
      </c>
      <c r="J62" s="16">
        <v>1.5</v>
      </c>
      <c r="K62" s="17">
        <v>12</v>
      </c>
    </row>
    <row r="63" spans="1:11" ht="13.2" x14ac:dyDescent="0.25">
      <c r="A63" s="4"/>
      <c r="B63" s="4"/>
      <c r="C63" s="5"/>
      <c r="D63" s="5"/>
      <c r="E63" s="4"/>
      <c r="F63" s="6"/>
      <c r="G63" s="7"/>
      <c r="H63" s="16"/>
      <c r="I63" s="16"/>
      <c r="J63" s="16"/>
      <c r="K63" s="17"/>
    </row>
    <row r="64" spans="1:11" ht="13.2" x14ac:dyDescent="0.25">
      <c r="A64" s="4"/>
      <c r="B64" s="4"/>
      <c r="C64" s="5"/>
      <c r="D64" s="5"/>
      <c r="E64" s="4"/>
      <c r="F64" s="6"/>
      <c r="G64" s="7"/>
      <c r="H64" s="16"/>
      <c r="I64" s="16"/>
      <c r="J64" s="16"/>
      <c r="K64" s="17"/>
    </row>
    <row r="65" spans="1:11" ht="39.6" x14ac:dyDescent="0.25">
      <c r="A65" s="1" t="s">
        <v>80</v>
      </c>
      <c r="B65" s="18" t="s">
        <v>1</v>
      </c>
      <c r="C65" s="19" t="s">
        <v>178</v>
      </c>
      <c r="D65" s="20" t="s">
        <v>184</v>
      </c>
      <c r="E65" s="19" t="s">
        <v>2</v>
      </c>
      <c r="F65" s="19" t="s">
        <v>3</v>
      </c>
      <c r="G65" s="21" t="s">
        <v>4</v>
      </c>
      <c r="H65" s="22" t="s">
        <v>179</v>
      </c>
      <c r="I65" s="18" t="s">
        <v>180</v>
      </c>
      <c r="J65" s="23" t="s">
        <v>181</v>
      </c>
      <c r="K65" s="18" t="s">
        <v>182</v>
      </c>
    </row>
    <row r="66" spans="1:11" ht="13.2" x14ac:dyDescent="0.25">
      <c r="A66" s="4" t="s">
        <v>81</v>
      </c>
      <c r="B66" s="4">
        <v>6</v>
      </c>
      <c r="C66" s="5" t="s">
        <v>183</v>
      </c>
      <c r="D66" s="5">
        <v>2</v>
      </c>
      <c r="E66" s="4" t="s">
        <v>82</v>
      </c>
      <c r="F66" s="4">
        <v>900</v>
      </c>
      <c r="G66" s="7">
        <f t="shared" ref="G66:G90" si="3">F66/220</f>
        <v>4.0909090909090908</v>
      </c>
      <c r="H66" s="16">
        <v>1.5</v>
      </c>
      <c r="I66" s="16">
        <v>1.5</v>
      </c>
      <c r="J66" s="16">
        <v>1.5</v>
      </c>
      <c r="K66" s="17">
        <v>6</v>
      </c>
    </row>
    <row r="67" spans="1:11" ht="13.2" x14ac:dyDescent="0.25">
      <c r="A67" s="4" t="s">
        <v>83</v>
      </c>
      <c r="B67" s="4">
        <v>1</v>
      </c>
      <c r="C67" s="5" t="s">
        <v>183</v>
      </c>
      <c r="D67" s="5">
        <v>2</v>
      </c>
      <c r="E67" s="4" t="s">
        <v>84</v>
      </c>
      <c r="F67" s="6">
        <v>10725</v>
      </c>
      <c r="G67" s="7">
        <f t="shared" si="3"/>
        <v>48.75</v>
      </c>
      <c r="H67" s="16">
        <v>10</v>
      </c>
      <c r="I67" s="16">
        <v>10</v>
      </c>
      <c r="J67" s="16">
        <v>10</v>
      </c>
      <c r="K67" s="17">
        <v>50</v>
      </c>
    </row>
    <row r="68" spans="1:11" ht="13.2" x14ac:dyDescent="0.25">
      <c r="A68" s="4" t="s">
        <v>83</v>
      </c>
      <c r="B68" s="4">
        <v>1</v>
      </c>
      <c r="C68" s="5" t="s">
        <v>183</v>
      </c>
      <c r="D68" s="5">
        <v>2</v>
      </c>
      <c r="E68" s="4" t="s">
        <v>85</v>
      </c>
      <c r="F68" s="6">
        <v>10725</v>
      </c>
      <c r="G68" s="7">
        <f t="shared" si="3"/>
        <v>48.75</v>
      </c>
      <c r="H68" s="16">
        <v>10</v>
      </c>
      <c r="I68" s="16">
        <v>10</v>
      </c>
      <c r="J68" s="16">
        <v>10</v>
      </c>
      <c r="K68" s="17">
        <v>50</v>
      </c>
    </row>
    <row r="69" spans="1:11" ht="13.2" x14ac:dyDescent="0.25">
      <c r="A69" s="4" t="s">
        <v>83</v>
      </c>
      <c r="B69" s="4">
        <v>1</v>
      </c>
      <c r="C69" s="5" t="s">
        <v>183</v>
      </c>
      <c r="D69" s="5">
        <v>2</v>
      </c>
      <c r="E69" s="4" t="s">
        <v>86</v>
      </c>
      <c r="F69" s="6">
        <v>10725</v>
      </c>
      <c r="G69" s="7">
        <f t="shared" si="3"/>
        <v>48.75</v>
      </c>
      <c r="H69" s="16">
        <v>10</v>
      </c>
      <c r="I69" s="16">
        <v>10</v>
      </c>
      <c r="J69" s="16">
        <v>10</v>
      </c>
      <c r="K69" s="17">
        <v>50</v>
      </c>
    </row>
    <row r="70" spans="1:11" ht="13.2" x14ac:dyDescent="0.25">
      <c r="A70" s="4" t="s">
        <v>83</v>
      </c>
      <c r="B70" s="4">
        <v>1</v>
      </c>
      <c r="C70" s="5" t="s">
        <v>183</v>
      </c>
      <c r="D70" s="5">
        <v>2</v>
      </c>
      <c r="E70" s="4" t="s">
        <v>87</v>
      </c>
      <c r="F70" s="6">
        <v>10725</v>
      </c>
      <c r="G70" s="7">
        <f t="shared" si="3"/>
        <v>48.75</v>
      </c>
      <c r="H70" s="16">
        <v>10</v>
      </c>
      <c r="I70" s="16">
        <v>10</v>
      </c>
      <c r="J70" s="16">
        <v>10</v>
      </c>
      <c r="K70" s="17">
        <v>50</v>
      </c>
    </row>
    <row r="71" spans="1:11" ht="13.2" x14ac:dyDescent="0.25">
      <c r="A71" s="4" t="s">
        <v>83</v>
      </c>
      <c r="B71" s="4">
        <v>1</v>
      </c>
      <c r="C71" s="5" t="s">
        <v>183</v>
      </c>
      <c r="D71" s="5">
        <v>2</v>
      </c>
      <c r="E71" s="4" t="s">
        <v>88</v>
      </c>
      <c r="F71" s="6">
        <v>10725</v>
      </c>
      <c r="G71" s="7">
        <f t="shared" si="3"/>
        <v>48.75</v>
      </c>
      <c r="H71" s="16">
        <v>10</v>
      </c>
      <c r="I71" s="16">
        <v>10</v>
      </c>
      <c r="J71" s="16">
        <v>10</v>
      </c>
      <c r="K71" s="17">
        <v>50</v>
      </c>
    </row>
    <row r="72" spans="1:11" ht="13.2" x14ac:dyDescent="0.25">
      <c r="A72" s="4" t="s">
        <v>83</v>
      </c>
      <c r="B72" s="4">
        <v>1</v>
      </c>
      <c r="C72" s="5" t="s">
        <v>183</v>
      </c>
      <c r="D72" s="5">
        <v>2</v>
      </c>
      <c r="E72" s="4" t="s">
        <v>89</v>
      </c>
      <c r="F72" s="6">
        <v>10725</v>
      </c>
      <c r="G72" s="7">
        <f t="shared" si="3"/>
        <v>48.75</v>
      </c>
      <c r="H72" s="16">
        <v>10</v>
      </c>
      <c r="I72" s="16">
        <v>10</v>
      </c>
      <c r="J72" s="16">
        <v>10</v>
      </c>
      <c r="K72" s="17">
        <v>50</v>
      </c>
    </row>
    <row r="73" spans="1:11" ht="13.2" x14ac:dyDescent="0.25">
      <c r="A73" s="4" t="s">
        <v>90</v>
      </c>
      <c r="B73" s="4">
        <v>1</v>
      </c>
      <c r="C73" s="5" t="s">
        <v>183</v>
      </c>
      <c r="D73" s="5">
        <v>2</v>
      </c>
      <c r="E73" s="4" t="s">
        <v>91</v>
      </c>
      <c r="F73" s="6">
        <v>1000</v>
      </c>
      <c r="G73" s="7">
        <f t="shared" si="3"/>
        <v>4.5454545454545459</v>
      </c>
      <c r="H73" s="16">
        <v>1.5</v>
      </c>
      <c r="I73" s="16">
        <v>1.5</v>
      </c>
      <c r="J73" s="16">
        <v>1.5</v>
      </c>
      <c r="K73" s="17">
        <v>6</v>
      </c>
    </row>
    <row r="74" spans="1:11" ht="13.2" x14ac:dyDescent="0.25">
      <c r="A74" s="4" t="s">
        <v>90</v>
      </c>
      <c r="B74" s="4">
        <v>1</v>
      </c>
      <c r="C74" s="5" t="s">
        <v>183</v>
      </c>
      <c r="D74" s="5">
        <v>2</v>
      </c>
      <c r="E74" s="4" t="s">
        <v>92</v>
      </c>
      <c r="F74" s="6">
        <v>1000</v>
      </c>
      <c r="G74" s="7">
        <f t="shared" si="3"/>
        <v>4.5454545454545459</v>
      </c>
      <c r="H74" s="16">
        <v>1.5</v>
      </c>
      <c r="I74" s="16">
        <v>1.5</v>
      </c>
      <c r="J74" s="16">
        <v>1.5</v>
      </c>
      <c r="K74" s="17">
        <v>6</v>
      </c>
    </row>
    <row r="75" spans="1:11" ht="13.2" x14ac:dyDescent="0.25">
      <c r="A75" s="4" t="s">
        <v>90</v>
      </c>
      <c r="B75" s="4">
        <v>1</v>
      </c>
      <c r="C75" s="5" t="s">
        <v>183</v>
      </c>
      <c r="D75" s="5">
        <v>2</v>
      </c>
      <c r="E75" s="4" t="s">
        <v>93</v>
      </c>
      <c r="F75" s="6">
        <v>1000</v>
      </c>
      <c r="G75" s="7">
        <f t="shared" si="3"/>
        <v>4.5454545454545459</v>
      </c>
      <c r="H75" s="16">
        <v>1.5</v>
      </c>
      <c r="I75" s="16">
        <v>1.5</v>
      </c>
      <c r="J75" s="16">
        <v>1.5</v>
      </c>
      <c r="K75" s="17">
        <v>6</v>
      </c>
    </row>
    <row r="76" spans="1:11" ht="13.2" x14ac:dyDescent="0.25">
      <c r="A76" s="4" t="s">
        <v>90</v>
      </c>
      <c r="B76" s="4">
        <v>1</v>
      </c>
      <c r="C76" s="5" t="s">
        <v>183</v>
      </c>
      <c r="D76" s="5">
        <v>2</v>
      </c>
      <c r="E76" s="4" t="s">
        <v>94</v>
      </c>
      <c r="F76" s="6">
        <v>1000</v>
      </c>
      <c r="G76" s="7">
        <f t="shared" si="3"/>
        <v>4.5454545454545459</v>
      </c>
      <c r="H76" s="16">
        <v>1.5</v>
      </c>
      <c r="I76" s="16">
        <v>1.5</v>
      </c>
      <c r="J76" s="16">
        <v>1.5</v>
      </c>
      <c r="K76" s="17">
        <v>6</v>
      </c>
    </row>
    <row r="77" spans="1:11" ht="13.2" x14ac:dyDescent="0.25">
      <c r="A77" s="4" t="s">
        <v>90</v>
      </c>
      <c r="B77" s="4">
        <v>1</v>
      </c>
      <c r="C77" s="5" t="s">
        <v>183</v>
      </c>
      <c r="D77" s="5">
        <v>2</v>
      </c>
      <c r="E77" s="4" t="s">
        <v>95</v>
      </c>
      <c r="F77" s="6">
        <v>1000</v>
      </c>
      <c r="G77" s="7">
        <f t="shared" si="3"/>
        <v>4.5454545454545459</v>
      </c>
      <c r="H77" s="16">
        <v>1.5</v>
      </c>
      <c r="I77" s="16">
        <v>1.5</v>
      </c>
      <c r="J77" s="16">
        <v>1.5</v>
      </c>
      <c r="K77" s="17">
        <v>6</v>
      </c>
    </row>
    <row r="78" spans="1:11" ht="13.2" x14ac:dyDescent="0.25">
      <c r="A78" s="4" t="s">
        <v>90</v>
      </c>
      <c r="B78" s="4">
        <v>1</v>
      </c>
      <c r="C78" s="5" t="s">
        <v>183</v>
      </c>
      <c r="D78" s="5">
        <v>2</v>
      </c>
      <c r="E78" s="4" t="s">
        <v>96</v>
      </c>
      <c r="F78" s="6">
        <v>1000</v>
      </c>
      <c r="G78" s="7">
        <f t="shared" si="3"/>
        <v>4.5454545454545459</v>
      </c>
      <c r="H78" s="16">
        <v>1.5</v>
      </c>
      <c r="I78" s="16">
        <v>1.5</v>
      </c>
      <c r="J78" s="16">
        <v>1.5</v>
      </c>
      <c r="K78" s="17">
        <v>6</v>
      </c>
    </row>
    <row r="79" spans="1:11" ht="13.2" x14ac:dyDescent="0.25">
      <c r="A79" s="4" t="s">
        <v>69</v>
      </c>
      <c r="B79" s="4">
        <v>1</v>
      </c>
      <c r="C79" s="5" t="s">
        <v>183</v>
      </c>
      <c r="D79" s="5">
        <v>2</v>
      </c>
      <c r="E79" s="4" t="s">
        <v>97</v>
      </c>
      <c r="F79" s="6">
        <v>2184</v>
      </c>
      <c r="G79" s="7">
        <f t="shared" si="3"/>
        <v>9.9272727272727277</v>
      </c>
      <c r="H79" s="16">
        <v>1.5</v>
      </c>
      <c r="I79" s="16">
        <v>1.5</v>
      </c>
      <c r="J79" s="16">
        <v>1.5</v>
      </c>
      <c r="K79" s="17">
        <v>12</v>
      </c>
    </row>
    <row r="80" spans="1:11" ht="13.2" x14ac:dyDescent="0.25">
      <c r="A80" s="4" t="s">
        <v>69</v>
      </c>
      <c r="B80" s="4">
        <v>1</v>
      </c>
      <c r="C80" s="5" t="s">
        <v>183</v>
      </c>
      <c r="D80" s="5">
        <v>2</v>
      </c>
      <c r="E80" s="4" t="s">
        <v>98</v>
      </c>
      <c r="F80" s="6">
        <v>2184</v>
      </c>
      <c r="G80" s="7">
        <f t="shared" si="3"/>
        <v>9.9272727272727277</v>
      </c>
      <c r="H80" s="16">
        <v>1.5</v>
      </c>
      <c r="I80" s="16">
        <v>1.5</v>
      </c>
      <c r="J80" s="16">
        <v>1.5</v>
      </c>
      <c r="K80" s="17">
        <v>12</v>
      </c>
    </row>
    <row r="81" spans="1:11" ht="13.2" x14ac:dyDescent="0.25">
      <c r="A81" s="4" t="s">
        <v>69</v>
      </c>
      <c r="B81" s="4">
        <v>1</v>
      </c>
      <c r="C81" s="5" t="s">
        <v>183</v>
      </c>
      <c r="D81" s="5">
        <v>2</v>
      </c>
      <c r="E81" s="4" t="s">
        <v>99</v>
      </c>
      <c r="F81" s="6">
        <v>2184</v>
      </c>
      <c r="G81" s="7">
        <f t="shared" si="3"/>
        <v>9.9272727272727277</v>
      </c>
      <c r="H81" s="16">
        <v>1.5</v>
      </c>
      <c r="I81" s="16">
        <v>1.5</v>
      </c>
      <c r="J81" s="16">
        <v>1.5</v>
      </c>
      <c r="K81" s="17">
        <v>12</v>
      </c>
    </row>
    <row r="82" spans="1:11" ht="13.2" x14ac:dyDescent="0.25">
      <c r="A82" s="4" t="s">
        <v>69</v>
      </c>
      <c r="B82" s="4">
        <v>1</v>
      </c>
      <c r="C82" s="5" t="s">
        <v>183</v>
      </c>
      <c r="D82" s="5">
        <v>2</v>
      </c>
      <c r="E82" s="4" t="s">
        <v>100</v>
      </c>
      <c r="F82" s="6">
        <v>2184</v>
      </c>
      <c r="G82" s="7">
        <f t="shared" si="3"/>
        <v>9.9272727272727277</v>
      </c>
      <c r="H82" s="16">
        <v>1.5</v>
      </c>
      <c r="I82" s="16">
        <v>1.5</v>
      </c>
      <c r="J82" s="16">
        <v>1.5</v>
      </c>
      <c r="K82" s="17">
        <v>12</v>
      </c>
    </row>
    <row r="83" spans="1:11" ht="13.2" x14ac:dyDescent="0.25">
      <c r="A83" s="4" t="s">
        <v>72</v>
      </c>
      <c r="B83" s="4">
        <v>1</v>
      </c>
      <c r="C83" s="5" t="s">
        <v>183</v>
      </c>
      <c r="D83" s="5">
        <v>2</v>
      </c>
      <c r="E83" s="4" t="s">
        <v>101</v>
      </c>
      <c r="F83" s="6">
        <v>2200</v>
      </c>
      <c r="G83" s="7">
        <f t="shared" si="3"/>
        <v>10</v>
      </c>
      <c r="H83" s="16">
        <v>1.5</v>
      </c>
      <c r="I83" s="16">
        <v>1.5</v>
      </c>
      <c r="J83" s="16">
        <v>1.5</v>
      </c>
      <c r="K83" s="17">
        <v>12</v>
      </c>
    </row>
    <row r="84" spans="1:11" ht="13.2" x14ac:dyDescent="0.25">
      <c r="A84" s="4" t="s">
        <v>72</v>
      </c>
      <c r="B84" s="4">
        <v>1</v>
      </c>
      <c r="C84" s="5" t="s">
        <v>183</v>
      </c>
      <c r="D84" s="5">
        <v>2</v>
      </c>
      <c r="E84" s="4" t="s">
        <v>102</v>
      </c>
      <c r="F84" s="6">
        <v>2200</v>
      </c>
      <c r="G84" s="7">
        <f t="shared" si="3"/>
        <v>10</v>
      </c>
      <c r="H84" s="16">
        <v>1.5</v>
      </c>
      <c r="I84" s="16">
        <v>1.5</v>
      </c>
      <c r="J84" s="16">
        <v>1.5</v>
      </c>
      <c r="K84" s="17">
        <v>12</v>
      </c>
    </row>
    <row r="85" spans="1:11" ht="13.2" x14ac:dyDescent="0.25">
      <c r="A85" s="4" t="s">
        <v>72</v>
      </c>
      <c r="B85" s="4">
        <v>1</v>
      </c>
      <c r="C85" s="5" t="s">
        <v>183</v>
      </c>
      <c r="D85" s="5">
        <v>2</v>
      </c>
      <c r="E85" s="4" t="s">
        <v>103</v>
      </c>
      <c r="F85" s="6">
        <v>2200</v>
      </c>
      <c r="G85" s="7">
        <f t="shared" si="3"/>
        <v>10</v>
      </c>
      <c r="H85" s="16">
        <v>1.5</v>
      </c>
      <c r="I85" s="16">
        <v>1.5</v>
      </c>
      <c r="J85" s="16">
        <v>1.5</v>
      </c>
      <c r="K85" s="17">
        <v>12</v>
      </c>
    </row>
    <row r="86" spans="1:11" ht="13.2" x14ac:dyDescent="0.25">
      <c r="A86" s="4" t="s">
        <v>72</v>
      </c>
      <c r="B86" s="4">
        <v>1</v>
      </c>
      <c r="C86" s="5" t="s">
        <v>183</v>
      </c>
      <c r="D86" s="5">
        <v>2</v>
      </c>
      <c r="E86" s="4" t="s">
        <v>104</v>
      </c>
      <c r="F86" s="6">
        <v>2200</v>
      </c>
      <c r="G86" s="7">
        <f t="shared" si="3"/>
        <v>10</v>
      </c>
      <c r="H86" s="16">
        <v>1.5</v>
      </c>
      <c r="I86" s="16">
        <v>1.5</v>
      </c>
      <c r="J86" s="16">
        <v>1.5</v>
      </c>
      <c r="K86" s="17">
        <v>12</v>
      </c>
    </row>
    <row r="87" spans="1:11" ht="13.2" x14ac:dyDescent="0.25">
      <c r="A87" s="4" t="s">
        <v>72</v>
      </c>
      <c r="B87" s="4">
        <v>1</v>
      </c>
      <c r="C87" s="5" t="s">
        <v>183</v>
      </c>
      <c r="D87" s="5">
        <v>2</v>
      </c>
      <c r="E87" s="4" t="s">
        <v>105</v>
      </c>
      <c r="F87" s="6">
        <v>2200</v>
      </c>
      <c r="G87" s="7">
        <f t="shared" si="3"/>
        <v>10</v>
      </c>
      <c r="H87" s="16">
        <v>1.5</v>
      </c>
      <c r="I87" s="16">
        <v>1.5</v>
      </c>
      <c r="J87" s="16">
        <v>1.5</v>
      </c>
      <c r="K87" s="17">
        <v>12</v>
      </c>
    </row>
    <row r="88" spans="1:11" ht="13.2" x14ac:dyDescent="0.25">
      <c r="A88" s="4" t="s">
        <v>72</v>
      </c>
      <c r="B88" s="4">
        <v>1</v>
      </c>
      <c r="C88" s="5" t="s">
        <v>183</v>
      </c>
      <c r="D88" s="5">
        <v>2</v>
      </c>
      <c r="E88" s="4" t="s">
        <v>106</v>
      </c>
      <c r="F88" s="6">
        <v>2200</v>
      </c>
      <c r="G88" s="7">
        <f t="shared" si="3"/>
        <v>10</v>
      </c>
      <c r="H88" s="16">
        <v>1.5</v>
      </c>
      <c r="I88" s="16">
        <v>1.5</v>
      </c>
      <c r="J88" s="16">
        <v>1.5</v>
      </c>
      <c r="K88" s="17">
        <v>12</v>
      </c>
    </row>
    <row r="89" spans="1:11" ht="13.2" x14ac:dyDescent="0.25">
      <c r="A89" s="4" t="s">
        <v>72</v>
      </c>
      <c r="B89" s="4">
        <v>1</v>
      </c>
      <c r="C89" s="5" t="s">
        <v>183</v>
      </c>
      <c r="D89" s="5">
        <v>2</v>
      </c>
      <c r="E89" s="4" t="s">
        <v>107</v>
      </c>
      <c r="F89" s="6">
        <v>2200</v>
      </c>
      <c r="G89" s="7">
        <f t="shared" si="3"/>
        <v>10</v>
      </c>
      <c r="H89" s="16">
        <v>1.5</v>
      </c>
      <c r="I89" s="16">
        <v>1.5</v>
      </c>
      <c r="J89" s="16">
        <v>1.5</v>
      </c>
      <c r="K89" s="17">
        <v>12</v>
      </c>
    </row>
    <row r="90" spans="1:11" ht="13.2" x14ac:dyDescent="0.25">
      <c r="A90" s="4" t="s">
        <v>72</v>
      </c>
      <c r="B90" s="4">
        <v>1</v>
      </c>
      <c r="C90" s="5" t="s">
        <v>183</v>
      </c>
      <c r="D90" s="5">
        <v>2</v>
      </c>
      <c r="E90" s="4" t="s">
        <v>108</v>
      </c>
      <c r="F90" s="6">
        <v>2200</v>
      </c>
      <c r="G90" s="7">
        <f t="shared" si="3"/>
        <v>10</v>
      </c>
      <c r="H90" s="16">
        <v>1.5</v>
      </c>
      <c r="I90" s="16">
        <v>1.5</v>
      </c>
      <c r="J90" s="16">
        <v>1.5</v>
      </c>
      <c r="K90" s="17">
        <v>12</v>
      </c>
    </row>
    <row r="91" spans="1:11" ht="13.2" x14ac:dyDescent="0.25">
      <c r="A91" s="4"/>
      <c r="B91" s="4"/>
      <c r="C91" s="5"/>
      <c r="D91" s="5"/>
      <c r="E91" s="4"/>
      <c r="F91" s="6"/>
      <c r="G91" s="7"/>
      <c r="H91" s="16"/>
      <c r="I91" s="16"/>
      <c r="J91" s="16"/>
      <c r="K91" s="17"/>
    </row>
    <row r="92" spans="1:11" ht="13.2" x14ac:dyDescent="0.25">
      <c r="A92" s="4"/>
      <c r="B92" s="4"/>
      <c r="C92" s="5"/>
      <c r="D92" s="5"/>
      <c r="E92" s="4"/>
      <c r="F92" s="6"/>
      <c r="G92" s="7"/>
      <c r="H92" s="16"/>
      <c r="I92" s="16"/>
      <c r="J92" s="16"/>
      <c r="K92" s="17"/>
    </row>
    <row r="93" spans="1:11" ht="39.6" x14ac:dyDescent="0.25">
      <c r="A93" s="1" t="s">
        <v>109</v>
      </c>
      <c r="B93" s="18" t="s">
        <v>1</v>
      </c>
      <c r="C93" s="19" t="s">
        <v>178</v>
      </c>
      <c r="D93" s="20" t="s">
        <v>184</v>
      </c>
      <c r="E93" s="19" t="s">
        <v>2</v>
      </c>
      <c r="F93" s="19" t="s">
        <v>3</v>
      </c>
      <c r="G93" s="21" t="s">
        <v>4</v>
      </c>
      <c r="H93" s="22" t="s">
        <v>179</v>
      </c>
      <c r="I93" s="18" t="s">
        <v>180</v>
      </c>
      <c r="J93" s="23" t="s">
        <v>181</v>
      </c>
      <c r="K93" s="18" t="s">
        <v>182</v>
      </c>
    </row>
    <row r="94" spans="1:11" ht="13.2" x14ac:dyDescent="0.25">
      <c r="A94" s="4" t="s">
        <v>110</v>
      </c>
      <c r="B94" s="4">
        <v>1</v>
      </c>
      <c r="C94" s="5" t="s">
        <v>183</v>
      </c>
      <c r="D94" s="5">
        <v>2</v>
      </c>
      <c r="E94" s="4" t="s">
        <v>111</v>
      </c>
      <c r="F94" s="6">
        <v>4000</v>
      </c>
      <c r="G94" s="7">
        <f t="shared" ref="G94:G113" si="4">F94/220</f>
        <v>18.181818181818183</v>
      </c>
      <c r="H94" s="16">
        <v>2.5</v>
      </c>
      <c r="I94" s="16">
        <v>2.5</v>
      </c>
      <c r="J94" s="16">
        <v>2.5</v>
      </c>
      <c r="K94" s="17">
        <v>20</v>
      </c>
    </row>
    <row r="95" spans="1:11" ht="13.2" x14ac:dyDescent="0.25">
      <c r="A95" s="4" t="s">
        <v>110</v>
      </c>
      <c r="B95" s="4">
        <v>1</v>
      </c>
      <c r="C95" s="5" t="s">
        <v>183</v>
      </c>
      <c r="D95" s="5">
        <v>2</v>
      </c>
      <c r="E95" s="4" t="s">
        <v>112</v>
      </c>
      <c r="F95" s="6">
        <v>4000</v>
      </c>
      <c r="G95" s="7">
        <f t="shared" si="4"/>
        <v>18.181818181818183</v>
      </c>
      <c r="H95" s="16">
        <v>2.5</v>
      </c>
      <c r="I95" s="16">
        <v>2.5</v>
      </c>
      <c r="J95" s="16">
        <v>2.5</v>
      </c>
      <c r="K95" s="17">
        <v>20</v>
      </c>
    </row>
    <row r="96" spans="1:11" ht="13.2" x14ac:dyDescent="0.25">
      <c r="A96" s="4" t="s">
        <v>110</v>
      </c>
      <c r="B96" s="4">
        <v>1</v>
      </c>
      <c r="C96" s="5" t="s">
        <v>183</v>
      </c>
      <c r="D96" s="5">
        <v>2</v>
      </c>
      <c r="E96" s="4" t="s">
        <v>113</v>
      </c>
      <c r="F96" s="6">
        <v>4000</v>
      </c>
      <c r="G96" s="7">
        <f t="shared" si="4"/>
        <v>18.181818181818183</v>
      </c>
      <c r="H96" s="16">
        <v>2.5</v>
      </c>
      <c r="I96" s="16">
        <v>2.5</v>
      </c>
      <c r="J96" s="16">
        <v>2.5</v>
      </c>
      <c r="K96" s="17">
        <v>20</v>
      </c>
    </row>
    <row r="97" spans="1:11" ht="13.2" x14ac:dyDescent="0.25">
      <c r="A97" s="4" t="s">
        <v>110</v>
      </c>
      <c r="B97" s="4">
        <v>1</v>
      </c>
      <c r="C97" s="5" t="s">
        <v>183</v>
      </c>
      <c r="D97" s="5">
        <v>2</v>
      </c>
      <c r="E97" s="4" t="s">
        <v>114</v>
      </c>
      <c r="F97" s="6">
        <v>4000</v>
      </c>
      <c r="G97" s="7">
        <f t="shared" si="4"/>
        <v>18.181818181818183</v>
      </c>
      <c r="H97" s="16">
        <v>2.5</v>
      </c>
      <c r="I97" s="16">
        <v>2.5</v>
      </c>
      <c r="J97" s="16">
        <v>2.5</v>
      </c>
      <c r="K97" s="17">
        <v>20</v>
      </c>
    </row>
    <row r="98" spans="1:11" ht="13.2" x14ac:dyDescent="0.25">
      <c r="A98" s="4" t="s">
        <v>110</v>
      </c>
      <c r="B98" s="4">
        <v>1</v>
      </c>
      <c r="C98" s="5" t="s">
        <v>183</v>
      </c>
      <c r="D98" s="5">
        <v>2</v>
      </c>
      <c r="E98" s="4" t="s">
        <v>115</v>
      </c>
      <c r="F98" s="6">
        <v>4000</v>
      </c>
      <c r="G98" s="7">
        <f t="shared" si="4"/>
        <v>18.181818181818183</v>
      </c>
      <c r="H98" s="16">
        <v>2.5</v>
      </c>
      <c r="I98" s="16">
        <v>2.5</v>
      </c>
      <c r="J98" s="16">
        <v>2.5</v>
      </c>
      <c r="K98" s="17">
        <v>20</v>
      </c>
    </row>
    <row r="99" spans="1:11" ht="13.2" x14ac:dyDescent="0.25">
      <c r="A99" s="4" t="s">
        <v>110</v>
      </c>
      <c r="B99" s="4">
        <v>1</v>
      </c>
      <c r="C99" s="5" t="s">
        <v>183</v>
      </c>
      <c r="D99" s="5">
        <v>2</v>
      </c>
      <c r="E99" s="4" t="s">
        <v>116</v>
      </c>
      <c r="F99" s="6">
        <v>4000</v>
      </c>
      <c r="G99" s="7">
        <f t="shared" si="4"/>
        <v>18.181818181818183</v>
      </c>
      <c r="H99" s="16">
        <v>2.5</v>
      </c>
      <c r="I99" s="16">
        <v>2.5</v>
      </c>
      <c r="J99" s="16">
        <v>2.5</v>
      </c>
      <c r="K99" s="17">
        <v>20</v>
      </c>
    </row>
    <row r="100" spans="1:11" ht="13.2" x14ac:dyDescent="0.25">
      <c r="A100" s="4" t="s">
        <v>110</v>
      </c>
      <c r="B100" s="4">
        <v>1</v>
      </c>
      <c r="C100" s="5" t="s">
        <v>183</v>
      </c>
      <c r="D100" s="5">
        <v>2</v>
      </c>
      <c r="E100" s="4" t="s">
        <v>117</v>
      </c>
      <c r="F100" s="6">
        <v>4000</v>
      </c>
      <c r="G100" s="7">
        <f t="shared" si="4"/>
        <v>18.181818181818183</v>
      </c>
      <c r="H100" s="16">
        <v>2.5</v>
      </c>
      <c r="I100" s="16">
        <v>2.5</v>
      </c>
      <c r="J100" s="16">
        <v>2.5</v>
      </c>
      <c r="K100" s="17">
        <v>20</v>
      </c>
    </row>
    <row r="101" spans="1:11" ht="13.2" x14ac:dyDescent="0.25">
      <c r="A101" s="4" t="s">
        <v>110</v>
      </c>
      <c r="B101" s="4">
        <v>1</v>
      </c>
      <c r="C101" s="5" t="s">
        <v>183</v>
      </c>
      <c r="D101" s="5">
        <v>2</v>
      </c>
      <c r="E101" s="4" t="s">
        <v>118</v>
      </c>
      <c r="F101" s="6">
        <v>4000</v>
      </c>
      <c r="G101" s="7">
        <f t="shared" si="4"/>
        <v>18.181818181818183</v>
      </c>
      <c r="H101" s="16">
        <v>2.5</v>
      </c>
      <c r="I101" s="16">
        <v>2.5</v>
      </c>
      <c r="J101" s="16">
        <v>2.5</v>
      </c>
      <c r="K101" s="17">
        <v>20</v>
      </c>
    </row>
    <row r="102" spans="1:11" ht="13.2" x14ac:dyDescent="0.25">
      <c r="A102" s="4" t="s">
        <v>110</v>
      </c>
      <c r="B102" s="4">
        <v>1</v>
      </c>
      <c r="C102" s="5" t="s">
        <v>183</v>
      </c>
      <c r="D102" s="5">
        <v>2</v>
      </c>
      <c r="E102" s="4" t="s">
        <v>119</v>
      </c>
      <c r="F102" s="6">
        <v>4000</v>
      </c>
      <c r="G102" s="7">
        <f t="shared" si="4"/>
        <v>18.181818181818183</v>
      </c>
      <c r="H102" s="16">
        <v>2.5</v>
      </c>
      <c r="I102" s="16">
        <v>2.5</v>
      </c>
      <c r="J102" s="16">
        <v>2.5</v>
      </c>
      <c r="K102" s="17">
        <v>20</v>
      </c>
    </row>
    <row r="103" spans="1:11" ht="13.2" x14ac:dyDescent="0.25">
      <c r="A103" s="4" t="s">
        <v>110</v>
      </c>
      <c r="B103" s="4">
        <v>1</v>
      </c>
      <c r="C103" s="5" t="s">
        <v>183</v>
      </c>
      <c r="D103" s="5">
        <v>2</v>
      </c>
      <c r="E103" s="4" t="s">
        <v>120</v>
      </c>
      <c r="F103" s="6">
        <v>4000</v>
      </c>
      <c r="G103" s="7">
        <f t="shared" si="4"/>
        <v>18.181818181818183</v>
      </c>
      <c r="H103" s="16">
        <v>2.5</v>
      </c>
      <c r="I103" s="16">
        <v>2.5</v>
      </c>
      <c r="J103" s="16">
        <v>2.5</v>
      </c>
      <c r="K103" s="17">
        <v>20</v>
      </c>
    </row>
    <row r="104" spans="1:11" ht="13.2" x14ac:dyDescent="0.25">
      <c r="A104" s="4" t="s">
        <v>110</v>
      </c>
      <c r="B104" s="4">
        <v>1</v>
      </c>
      <c r="C104" s="5" t="s">
        <v>183</v>
      </c>
      <c r="D104" s="5">
        <v>2</v>
      </c>
      <c r="E104" s="4" t="s">
        <v>121</v>
      </c>
      <c r="F104" s="6">
        <v>4000</v>
      </c>
      <c r="G104" s="7">
        <f t="shared" si="4"/>
        <v>18.181818181818183</v>
      </c>
      <c r="H104" s="16">
        <v>2.5</v>
      </c>
      <c r="I104" s="16">
        <v>2.5</v>
      </c>
      <c r="J104" s="16">
        <v>2.5</v>
      </c>
      <c r="K104" s="17">
        <v>20</v>
      </c>
    </row>
    <row r="105" spans="1:11" ht="13.2" x14ac:dyDescent="0.25">
      <c r="A105" s="4" t="s">
        <v>110</v>
      </c>
      <c r="B105" s="4">
        <v>1</v>
      </c>
      <c r="C105" s="5" t="s">
        <v>183</v>
      </c>
      <c r="D105" s="5">
        <v>2</v>
      </c>
      <c r="E105" s="4" t="s">
        <v>122</v>
      </c>
      <c r="F105" s="6">
        <v>4000</v>
      </c>
      <c r="G105" s="7">
        <f t="shared" si="4"/>
        <v>18.181818181818183</v>
      </c>
      <c r="H105" s="16">
        <v>2.5</v>
      </c>
      <c r="I105" s="16">
        <v>2.5</v>
      </c>
      <c r="J105" s="16">
        <v>2.5</v>
      </c>
      <c r="K105" s="17">
        <v>20</v>
      </c>
    </row>
    <row r="106" spans="1:11" ht="13.2" x14ac:dyDescent="0.25">
      <c r="A106" s="4" t="s">
        <v>110</v>
      </c>
      <c r="B106" s="4">
        <v>1</v>
      </c>
      <c r="C106" s="5" t="s">
        <v>183</v>
      </c>
      <c r="D106" s="5">
        <v>2</v>
      </c>
      <c r="E106" s="4" t="s">
        <v>123</v>
      </c>
      <c r="F106" s="6">
        <v>4000</v>
      </c>
      <c r="G106" s="7">
        <f t="shared" si="4"/>
        <v>18.181818181818183</v>
      </c>
      <c r="H106" s="16">
        <v>2.5</v>
      </c>
      <c r="I106" s="16">
        <v>2.5</v>
      </c>
      <c r="J106" s="16">
        <v>2.5</v>
      </c>
      <c r="K106" s="17">
        <v>20</v>
      </c>
    </row>
    <row r="107" spans="1:11" ht="13.2" x14ac:dyDescent="0.25">
      <c r="A107" s="4" t="s">
        <v>110</v>
      </c>
      <c r="B107" s="4">
        <v>1</v>
      </c>
      <c r="C107" s="5" t="s">
        <v>183</v>
      </c>
      <c r="D107" s="5">
        <v>2</v>
      </c>
      <c r="E107" s="4" t="s">
        <v>124</v>
      </c>
      <c r="F107" s="6">
        <v>4000</v>
      </c>
      <c r="G107" s="7">
        <f t="shared" si="4"/>
        <v>18.181818181818183</v>
      </c>
      <c r="H107" s="16">
        <v>2.5</v>
      </c>
      <c r="I107" s="16">
        <v>2.5</v>
      </c>
      <c r="J107" s="16">
        <v>2.5</v>
      </c>
      <c r="K107" s="17">
        <v>20</v>
      </c>
    </row>
    <row r="108" spans="1:11" ht="13.2" x14ac:dyDescent="0.25">
      <c r="A108" s="4" t="s">
        <v>110</v>
      </c>
      <c r="B108" s="4">
        <v>1</v>
      </c>
      <c r="C108" s="5" t="s">
        <v>183</v>
      </c>
      <c r="D108" s="5">
        <v>2</v>
      </c>
      <c r="E108" s="4" t="s">
        <v>125</v>
      </c>
      <c r="F108" s="6">
        <v>4000</v>
      </c>
      <c r="G108" s="7">
        <f t="shared" si="4"/>
        <v>18.181818181818183</v>
      </c>
      <c r="H108" s="16">
        <v>2.5</v>
      </c>
      <c r="I108" s="16">
        <v>2.5</v>
      </c>
      <c r="J108" s="16">
        <v>2.5</v>
      </c>
      <c r="K108" s="17">
        <v>20</v>
      </c>
    </row>
    <row r="109" spans="1:11" ht="13.2" x14ac:dyDescent="0.25">
      <c r="A109" s="4" t="s">
        <v>72</v>
      </c>
      <c r="B109" s="4">
        <v>1</v>
      </c>
      <c r="C109" s="5" t="s">
        <v>183</v>
      </c>
      <c r="D109" s="5">
        <v>2</v>
      </c>
      <c r="E109" s="4" t="s">
        <v>126</v>
      </c>
      <c r="F109" s="6">
        <v>2200</v>
      </c>
      <c r="G109" s="7">
        <f t="shared" si="4"/>
        <v>10</v>
      </c>
      <c r="H109" s="16">
        <v>1.5</v>
      </c>
      <c r="I109" s="16">
        <v>1.5</v>
      </c>
      <c r="J109" s="16">
        <v>1.5</v>
      </c>
      <c r="K109" s="17">
        <v>12</v>
      </c>
    </row>
    <row r="110" spans="1:11" ht="13.2" x14ac:dyDescent="0.25">
      <c r="A110" s="4" t="s">
        <v>72</v>
      </c>
      <c r="B110" s="4">
        <v>1</v>
      </c>
      <c r="C110" s="5" t="s">
        <v>183</v>
      </c>
      <c r="D110" s="5">
        <v>2</v>
      </c>
      <c r="E110" s="4" t="s">
        <v>127</v>
      </c>
      <c r="F110" s="6">
        <v>2200</v>
      </c>
      <c r="G110" s="7">
        <f t="shared" si="4"/>
        <v>10</v>
      </c>
      <c r="H110" s="16">
        <v>1.5</v>
      </c>
      <c r="I110" s="16">
        <v>1.5</v>
      </c>
      <c r="J110" s="16">
        <v>1.5</v>
      </c>
      <c r="K110" s="17">
        <v>12</v>
      </c>
    </row>
    <row r="111" spans="1:11" ht="13.2" x14ac:dyDescent="0.25">
      <c r="A111" s="4" t="s">
        <v>72</v>
      </c>
      <c r="B111" s="4">
        <v>1</v>
      </c>
      <c r="C111" s="5" t="s">
        <v>183</v>
      </c>
      <c r="D111" s="5">
        <v>2</v>
      </c>
      <c r="E111" s="4" t="s">
        <v>128</v>
      </c>
      <c r="F111" s="6">
        <v>2200</v>
      </c>
      <c r="G111" s="7">
        <f t="shared" si="4"/>
        <v>10</v>
      </c>
      <c r="H111" s="16">
        <v>1.5</v>
      </c>
      <c r="I111" s="16">
        <v>1.5</v>
      </c>
      <c r="J111" s="16">
        <v>1.5</v>
      </c>
      <c r="K111" s="17">
        <v>12</v>
      </c>
    </row>
    <row r="112" spans="1:11" ht="13.2" x14ac:dyDescent="0.25">
      <c r="A112" s="4" t="s">
        <v>72</v>
      </c>
      <c r="B112" s="4">
        <v>1</v>
      </c>
      <c r="C112" s="5" t="s">
        <v>183</v>
      </c>
      <c r="D112" s="5">
        <v>2</v>
      </c>
      <c r="E112" s="4" t="s">
        <v>129</v>
      </c>
      <c r="F112" s="6">
        <v>2200</v>
      </c>
      <c r="G112" s="7">
        <f t="shared" si="4"/>
        <v>10</v>
      </c>
      <c r="H112" s="16">
        <v>1.5</v>
      </c>
      <c r="I112" s="16">
        <v>1.5</v>
      </c>
      <c r="J112" s="16">
        <v>1.5</v>
      </c>
      <c r="K112" s="17">
        <v>12</v>
      </c>
    </row>
    <row r="113" spans="1:11" ht="13.2" x14ac:dyDescent="0.25">
      <c r="A113" s="4" t="s">
        <v>72</v>
      </c>
      <c r="B113" s="4">
        <v>1</v>
      </c>
      <c r="C113" s="5" t="s">
        <v>183</v>
      </c>
      <c r="D113" s="5">
        <v>2</v>
      </c>
      <c r="E113" s="4" t="s">
        <v>130</v>
      </c>
      <c r="F113" s="6">
        <v>2200</v>
      </c>
      <c r="G113" s="7">
        <f t="shared" si="4"/>
        <v>10</v>
      </c>
      <c r="H113" s="16">
        <v>1.5</v>
      </c>
      <c r="I113" s="16">
        <v>1.5</v>
      </c>
      <c r="J113" s="16">
        <v>1.5</v>
      </c>
      <c r="K113" s="17">
        <v>12</v>
      </c>
    </row>
    <row r="114" spans="1:11" ht="13.2" x14ac:dyDescent="0.25">
      <c r="A114" s="4"/>
      <c r="B114" s="4"/>
      <c r="C114" s="5"/>
      <c r="D114" s="5"/>
      <c r="E114" s="4"/>
      <c r="F114" s="6"/>
      <c r="G114" s="7"/>
      <c r="H114" s="16"/>
      <c r="I114" s="16"/>
      <c r="J114" s="16"/>
      <c r="K114" s="17"/>
    </row>
    <row r="115" spans="1:11" ht="13.2" x14ac:dyDescent="0.25">
      <c r="A115" s="4"/>
      <c r="B115" s="4"/>
      <c r="C115" s="5"/>
      <c r="D115" s="5"/>
      <c r="E115" s="4"/>
      <c r="F115" s="6"/>
      <c r="G115" s="7"/>
      <c r="H115" s="16"/>
      <c r="I115" s="16"/>
      <c r="J115" s="16"/>
      <c r="K115" s="17"/>
    </row>
    <row r="116" spans="1:11" ht="39.6" x14ac:dyDescent="0.25">
      <c r="A116" s="1" t="s">
        <v>131</v>
      </c>
      <c r="B116" s="18" t="s">
        <v>1</v>
      </c>
      <c r="C116" s="19" t="s">
        <v>178</v>
      </c>
      <c r="D116" s="20" t="s">
        <v>184</v>
      </c>
      <c r="E116" s="19" t="s">
        <v>2</v>
      </c>
      <c r="F116" s="19" t="s">
        <v>3</v>
      </c>
      <c r="G116" s="21" t="s">
        <v>4</v>
      </c>
      <c r="H116" s="22" t="s">
        <v>179</v>
      </c>
      <c r="I116" s="18" t="s">
        <v>180</v>
      </c>
      <c r="J116" s="23" t="s">
        <v>181</v>
      </c>
      <c r="K116" s="18" t="s">
        <v>182</v>
      </c>
    </row>
    <row r="117" spans="1:11" ht="13.2" x14ac:dyDescent="0.25">
      <c r="A117" s="4" t="s">
        <v>132</v>
      </c>
      <c r="B117" s="4">
        <v>1</v>
      </c>
      <c r="C117" s="5" t="s">
        <v>183</v>
      </c>
      <c r="D117" s="5">
        <v>2</v>
      </c>
      <c r="E117" s="4" t="s">
        <v>133</v>
      </c>
      <c r="F117" s="6">
        <v>72000</v>
      </c>
      <c r="G117" s="7">
        <f t="shared" ref="G117:G139" si="5">F117/220</f>
        <v>327.27272727272725</v>
      </c>
      <c r="H117" s="16">
        <v>185</v>
      </c>
      <c r="I117" s="16">
        <v>95</v>
      </c>
      <c r="J117" s="16">
        <v>95</v>
      </c>
      <c r="K117" s="17">
        <v>350</v>
      </c>
    </row>
    <row r="118" spans="1:11" ht="13.2" x14ac:dyDescent="0.25">
      <c r="A118" s="4" t="s">
        <v>64</v>
      </c>
      <c r="B118" s="4">
        <v>3</v>
      </c>
      <c r="C118" s="5" t="s">
        <v>183</v>
      </c>
      <c r="D118" s="5">
        <v>2</v>
      </c>
      <c r="E118" s="4" t="s">
        <v>134</v>
      </c>
      <c r="F118" s="12">
        <v>1380</v>
      </c>
      <c r="G118" s="7">
        <f t="shared" si="5"/>
        <v>6.2727272727272725</v>
      </c>
      <c r="H118" s="16">
        <v>1.5</v>
      </c>
      <c r="I118" s="16">
        <v>1.5</v>
      </c>
      <c r="J118" s="16">
        <v>1.5</v>
      </c>
      <c r="K118" s="17">
        <v>10</v>
      </c>
    </row>
    <row r="119" spans="1:11" ht="13.2" x14ac:dyDescent="0.25">
      <c r="A119" s="4" t="s">
        <v>64</v>
      </c>
      <c r="B119" s="4">
        <v>2</v>
      </c>
      <c r="C119" s="5" t="s">
        <v>183</v>
      </c>
      <c r="D119" s="5">
        <v>2</v>
      </c>
      <c r="E119" s="4" t="s">
        <v>135</v>
      </c>
      <c r="F119" s="12">
        <v>920</v>
      </c>
      <c r="G119" s="7">
        <f t="shared" si="5"/>
        <v>4.1818181818181817</v>
      </c>
      <c r="H119" s="16">
        <v>1.5</v>
      </c>
      <c r="I119" s="16">
        <v>1.5</v>
      </c>
      <c r="J119" s="16">
        <v>1.5</v>
      </c>
      <c r="K119" s="17">
        <v>6</v>
      </c>
    </row>
    <row r="120" spans="1:11" ht="13.2" x14ac:dyDescent="0.25">
      <c r="A120" s="4" t="s">
        <v>81</v>
      </c>
      <c r="B120" s="4">
        <v>5</v>
      </c>
      <c r="C120" s="5" t="s">
        <v>183</v>
      </c>
      <c r="D120" s="5">
        <v>2</v>
      </c>
      <c r="E120" s="4" t="s">
        <v>136</v>
      </c>
      <c r="F120" s="4">
        <v>750</v>
      </c>
      <c r="G120" s="7">
        <f t="shared" si="5"/>
        <v>3.4090909090909092</v>
      </c>
      <c r="H120" s="16">
        <v>1.5</v>
      </c>
      <c r="I120" s="16">
        <v>1.5</v>
      </c>
      <c r="J120" s="16">
        <v>1.5</v>
      </c>
      <c r="K120" s="17">
        <v>6</v>
      </c>
    </row>
    <row r="121" spans="1:11" ht="13.2" x14ac:dyDescent="0.25">
      <c r="A121" s="4" t="s">
        <v>137</v>
      </c>
      <c r="B121" s="4">
        <v>1</v>
      </c>
      <c r="C121" s="5" t="s">
        <v>183</v>
      </c>
      <c r="D121" s="5">
        <v>2</v>
      </c>
      <c r="E121" s="4" t="s">
        <v>138</v>
      </c>
      <c r="F121" s="6">
        <v>1000</v>
      </c>
      <c r="G121" s="7">
        <f t="shared" si="5"/>
        <v>4.5454545454545459</v>
      </c>
      <c r="H121" s="16">
        <v>1.5</v>
      </c>
      <c r="I121" s="16">
        <v>1.5</v>
      </c>
      <c r="J121" s="16">
        <v>1.5</v>
      </c>
      <c r="K121" s="17">
        <v>6</v>
      </c>
    </row>
    <row r="122" spans="1:11" ht="13.2" x14ac:dyDescent="0.25">
      <c r="A122" s="4" t="s">
        <v>137</v>
      </c>
      <c r="B122" s="4">
        <v>1</v>
      </c>
      <c r="C122" s="5" t="s">
        <v>183</v>
      </c>
      <c r="D122" s="5">
        <v>2</v>
      </c>
      <c r="E122" s="4" t="s">
        <v>139</v>
      </c>
      <c r="F122" s="6">
        <v>1000</v>
      </c>
      <c r="G122" s="7">
        <f t="shared" si="5"/>
        <v>4.5454545454545459</v>
      </c>
      <c r="H122" s="16">
        <v>1.5</v>
      </c>
      <c r="I122" s="16">
        <v>1.5</v>
      </c>
      <c r="J122" s="16">
        <v>1.5</v>
      </c>
      <c r="K122" s="17">
        <v>6</v>
      </c>
    </row>
    <row r="123" spans="1:11" ht="13.2" x14ac:dyDescent="0.25">
      <c r="A123" s="4" t="s">
        <v>137</v>
      </c>
      <c r="B123" s="4">
        <v>1</v>
      </c>
      <c r="C123" s="5" t="s">
        <v>183</v>
      </c>
      <c r="D123" s="5">
        <v>2</v>
      </c>
      <c r="E123" s="4" t="s">
        <v>140</v>
      </c>
      <c r="F123" s="6">
        <v>1000</v>
      </c>
      <c r="G123" s="7">
        <f t="shared" si="5"/>
        <v>4.5454545454545459</v>
      </c>
      <c r="H123" s="16">
        <v>1.5</v>
      </c>
      <c r="I123" s="16">
        <v>1.5</v>
      </c>
      <c r="J123" s="16">
        <v>1.5</v>
      </c>
      <c r="K123" s="17">
        <v>6</v>
      </c>
    </row>
    <row r="124" spans="1:11" ht="13.2" x14ac:dyDescent="0.25">
      <c r="A124" s="4" t="s">
        <v>137</v>
      </c>
      <c r="B124" s="4">
        <v>1</v>
      </c>
      <c r="C124" s="5" t="s">
        <v>183</v>
      </c>
      <c r="D124" s="5">
        <v>2</v>
      </c>
      <c r="E124" s="4" t="s">
        <v>141</v>
      </c>
      <c r="F124" s="6">
        <v>1000</v>
      </c>
      <c r="G124" s="7">
        <f t="shared" si="5"/>
        <v>4.5454545454545459</v>
      </c>
      <c r="H124" s="16">
        <v>1.5</v>
      </c>
      <c r="I124" s="16">
        <v>1.5</v>
      </c>
      <c r="J124" s="16">
        <v>1.5</v>
      </c>
      <c r="K124" s="17">
        <v>6</v>
      </c>
    </row>
    <row r="125" spans="1:11" ht="13.2" x14ac:dyDescent="0.25">
      <c r="A125" s="4" t="s">
        <v>137</v>
      </c>
      <c r="B125" s="4">
        <v>1</v>
      </c>
      <c r="C125" s="5" t="s">
        <v>183</v>
      </c>
      <c r="D125" s="5">
        <v>2</v>
      </c>
      <c r="E125" s="4" t="s">
        <v>142</v>
      </c>
      <c r="F125" s="6">
        <v>1000</v>
      </c>
      <c r="G125" s="7">
        <f t="shared" si="5"/>
        <v>4.5454545454545459</v>
      </c>
      <c r="H125" s="16">
        <v>1.5</v>
      </c>
      <c r="I125" s="16">
        <v>1.5</v>
      </c>
      <c r="J125" s="16">
        <v>1.5</v>
      </c>
      <c r="K125" s="17">
        <v>6</v>
      </c>
    </row>
    <row r="126" spans="1:11" ht="13.2" x14ac:dyDescent="0.25">
      <c r="A126" s="4" t="s">
        <v>143</v>
      </c>
      <c r="B126" s="4">
        <v>1</v>
      </c>
      <c r="C126" s="5" t="s">
        <v>183</v>
      </c>
      <c r="D126" s="5">
        <v>2</v>
      </c>
      <c r="E126" s="4" t="s">
        <v>144</v>
      </c>
      <c r="F126" s="6">
        <v>2000</v>
      </c>
      <c r="G126" s="7">
        <f t="shared" si="5"/>
        <v>9.0909090909090917</v>
      </c>
      <c r="H126" s="16">
        <v>1.5</v>
      </c>
      <c r="I126" s="16">
        <v>1.5</v>
      </c>
      <c r="J126" s="16">
        <v>1.5</v>
      </c>
      <c r="K126" s="17">
        <v>10</v>
      </c>
    </row>
    <row r="127" spans="1:11" ht="13.2" x14ac:dyDescent="0.25">
      <c r="A127" s="4" t="s">
        <v>143</v>
      </c>
      <c r="B127" s="4">
        <v>1</v>
      </c>
      <c r="C127" s="5" t="s">
        <v>183</v>
      </c>
      <c r="D127" s="5">
        <v>2</v>
      </c>
      <c r="E127" s="4" t="s">
        <v>145</v>
      </c>
      <c r="F127" s="6">
        <v>2000</v>
      </c>
      <c r="G127" s="7">
        <f t="shared" si="5"/>
        <v>9.0909090909090917</v>
      </c>
      <c r="H127" s="16">
        <v>1.5</v>
      </c>
      <c r="I127" s="16">
        <v>1.5</v>
      </c>
      <c r="J127" s="16">
        <v>1.5</v>
      </c>
      <c r="K127" s="17">
        <v>10</v>
      </c>
    </row>
    <row r="128" spans="1:11" ht="13.2" x14ac:dyDescent="0.25">
      <c r="A128" s="4" t="s">
        <v>143</v>
      </c>
      <c r="B128" s="4">
        <v>1</v>
      </c>
      <c r="C128" s="5" t="s">
        <v>183</v>
      </c>
      <c r="D128" s="5">
        <v>2</v>
      </c>
      <c r="E128" s="4" t="s">
        <v>146</v>
      </c>
      <c r="F128" s="6">
        <v>2000</v>
      </c>
      <c r="G128" s="7">
        <f t="shared" si="5"/>
        <v>9.0909090909090917</v>
      </c>
      <c r="H128" s="16">
        <v>1.5</v>
      </c>
      <c r="I128" s="16">
        <v>1.5</v>
      </c>
      <c r="J128" s="16">
        <v>1.5</v>
      </c>
      <c r="K128" s="17">
        <v>10</v>
      </c>
    </row>
    <row r="129" spans="1:11" ht="13.2" x14ac:dyDescent="0.25">
      <c r="A129" s="4" t="s">
        <v>143</v>
      </c>
      <c r="B129" s="4">
        <v>1</v>
      </c>
      <c r="C129" s="5" t="s">
        <v>183</v>
      </c>
      <c r="D129" s="5">
        <v>2</v>
      </c>
      <c r="E129" s="4" t="s">
        <v>147</v>
      </c>
      <c r="F129" s="6">
        <v>2000</v>
      </c>
      <c r="G129" s="7">
        <f t="shared" si="5"/>
        <v>9.0909090909090917</v>
      </c>
      <c r="H129" s="16">
        <v>1.5</v>
      </c>
      <c r="I129" s="16">
        <v>1.5</v>
      </c>
      <c r="J129" s="16">
        <v>1.5</v>
      </c>
      <c r="K129" s="17">
        <v>10</v>
      </c>
    </row>
    <row r="130" spans="1:11" ht="13.2" x14ac:dyDescent="0.25">
      <c r="A130" s="4" t="s">
        <v>143</v>
      </c>
      <c r="B130" s="4">
        <v>1</v>
      </c>
      <c r="C130" s="5" t="s">
        <v>183</v>
      </c>
      <c r="D130" s="5">
        <v>2</v>
      </c>
      <c r="E130" s="4" t="s">
        <v>148</v>
      </c>
      <c r="F130" s="6">
        <v>2000</v>
      </c>
      <c r="G130" s="7">
        <f t="shared" si="5"/>
        <v>9.0909090909090917</v>
      </c>
      <c r="H130" s="16">
        <v>1.5</v>
      </c>
      <c r="I130" s="16">
        <v>1.5</v>
      </c>
      <c r="J130" s="16">
        <v>1.5</v>
      </c>
      <c r="K130" s="17">
        <v>10</v>
      </c>
    </row>
    <row r="131" spans="1:11" ht="13.2" x14ac:dyDescent="0.25">
      <c r="A131" s="4" t="s">
        <v>149</v>
      </c>
      <c r="B131" s="4">
        <v>5</v>
      </c>
      <c r="C131" s="5" t="s">
        <v>183</v>
      </c>
      <c r="D131" s="5">
        <v>2</v>
      </c>
      <c r="E131" s="4" t="s">
        <v>150</v>
      </c>
      <c r="F131" s="4">
        <v>250</v>
      </c>
      <c r="G131" s="7">
        <f t="shared" si="5"/>
        <v>1.1363636363636365</v>
      </c>
      <c r="H131" s="16">
        <v>1.5</v>
      </c>
      <c r="I131" s="16">
        <v>1.5</v>
      </c>
      <c r="J131" s="16">
        <v>1.5</v>
      </c>
      <c r="K131" s="17">
        <v>2</v>
      </c>
    </row>
    <row r="132" spans="1:11" ht="13.2" x14ac:dyDescent="0.25">
      <c r="A132" s="4" t="s">
        <v>72</v>
      </c>
      <c r="B132" s="4">
        <v>1</v>
      </c>
      <c r="C132" s="5" t="s">
        <v>183</v>
      </c>
      <c r="D132" s="5">
        <v>2</v>
      </c>
      <c r="E132" s="4" t="s">
        <v>151</v>
      </c>
      <c r="F132" s="6">
        <v>2200</v>
      </c>
      <c r="G132" s="7">
        <f t="shared" si="5"/>
        <v>10</v>
      </c>
      <c r="H132" s="16">
        <v>1.5</v>
      </c>
      <c r="I132" s="16">
        <v>1.5</v>
      </c>
      <c r="J132" s="16">
        <v>1.5</v>
      </c>
      <c r="K132" s="17">
        <v>12</v>
      </c>
    </row>
    <row r="133" spans="1:11" ht="13.2" x14ac:dyDescent="0.25">
      <c r="A133" s="4" t="s">
        <v>72</v>
      </c>
      <c r="B133" s="4">
        <v>1</v>
      </c>
      <c r="C133" s="5" t="s">
        <v>183</v>
      </c>
      <c r="D133" s="5">
        <v>2</v>
      </c>
      <c r="E133" s="4" t="s">
        <v>152</v>
      </c>
      <c r="F133" s="6">
        <v>2200</v>
      </c>
      <c r="G133" s="7">
        <f t="shared" si="5"/>
        <v>10</v>
      </c>
      <c r="H133" s="16">
        <v>1.5</v>
      </c>
      <c r="I133" s="16">
        <v>1.5</v>
      </c>
      <c r="J133" s="16">
        <v>1.5</v>
      </c>
      <c r="K133" s="17">
        <v>12</v>
      </c>
    </row>
    <row r="134" spans="1:11" ht="13.2" x14ac:dyDescent="0.25">
      <c r="A134" s="4" t="s">
        <v>72</v>
      </c>
      <c r="B134" s="4">
        <v>1</v>
      </c>
      <c r="C134" s="5" t="s">
        <v>183</v>
      </c>
      <c r="D134" s="5">
        <v>2</v>
      </c>
      <c r="E134" s="4" t="s">
        <v>153</v>
      </c>
      <c r="F134" s="6">
        <v>2200</v>
      </c>
      <c r="G134" s="7">
        <f t="shared" si="5"/>
        <v>10</v>
      </c>
      <c r="H134" s="16">
        <v>1.5</v>
      </c>
      <c r="I134" s="16">
        <v>1.5</v>
      </c>
      <c r="J134" s="16">
        <v>1.5</v>
      </c>
      <c r="K134" s="17">
        <v>12</v>
      </c>
    </row>
    <row r="135" spans="1:11" ht="13.2" x14ac:dyDescent="0.25">
      <c r="A135" s="4" t="s">
        <v>72</v>
      </c>
      <c r="B135" s="4">
        <v>1</v>
      </c>
      <c r="C135" s="5" t="s">
        <v>183</v>
      </c>
      <c r="D135" s="5">
        <v>2</v>
      </c>
      <c r="E135" s="4" t="s">
        <v>154</v>
      </c>
      <c r="F135" s="6">
        <v>2200</v>
      </c>
      <c r="G135" s="7">
        <f t="shared" si="5"/>
        <v>10</v>
      </c>
      <c r="H135" s="16">
        <v>1.5</v>
      </c>
      <c r="I135" s="16">
        <v>1.5</v>
      </c>
      <c r="J135" s="16">
        <v>1.5</v>
      </c>
      <c r="K135" s="17">
        <v>12</v>
      </c>
    </row>
    <row r="136" spans="1:11" ht="13.2" x14ac:dyDescent="0.25">
      <c r="A136" s="4" t="s">
        <v>72</v>
      </c>
      <c r="B136" s="4">
        <v>1</v>
      </c>
      <c r="C136" s="5" t="s">
        <v>183</v>
      </c>
      <c r="D136" s="5">
        <v>2</v>
      </c>
      <c r="E136" s="4" t="s">
        <v>155</v>
      </c>
      <c r="F136" s="6">
        <v>2200</v>
      </c>
      <c r="G136" s="7">
        <f t="shared" si="5"/>
        <v>10</v>
      </c>
      <c r="H136" s="16">
        <v>1.5</v>
      </c>
      <c r="I136" s="16">
        <v>1.5</v>
      </c>
      <c r="J136" s="16">
        <v>1.5</v>
      </c>
      <c r="K136" s="17">
        <v>12</v>
      </c>
    </row>
    <row r="137" spans="1:11" ht="13.2" x14ac:dyDescent="0.25">
      <c r="A137" s="4" t="s">
        <v>72</v>
      </c>
      <c r="B137" s="4">
        <v>1</v>
      </c>
      <c r="C137" s="5" t="s">
        <v>183</v>
      </c>
      <c r="D137" s="5">
        <v>2</v>
      </c>
      <c r="E137" s="4" t="s">
        <v>156</v>
      </c>
      <c r="F137" s="6">
        <v>2200</v>
      </c>
      <c r="G137" s="7">
        <f t="shared" si="5"/>
        <v>10</v>
      </c>
      <c r="H137" s="16">
        <v>1.5</v>
      </c>
      <c r="I137" s="16">
        <v>1.5</v>
      </c>
      <c r="J137" s="16">
        <v>1.5</v>
      </c>
      <c r="K137" s="17">
        <v>12</v>
      </c>
    </row>
    <row r="138" spans="1:11" ht="13.2" x14ac:dyDescent="0.25">
      <c r="A138" s="4" t="s">
        <v>72</v>
      </c>
      <c r="B138" s="4">
        <v>1</v>
      </c>
      <c r="C138" s="5" t="s">
        <v>183</v>
      </c>
      <c r="D138" s="5">
        <v>2</v>
      </c>
      <c r="E138" s="4" t="s">
        <v>157</v>
      </c>
      <c r="F138" s="6">
        <v>2200</v>
      </c>
      <c r="G138" s="7">
        <f t="shared" si="5"/>
        <v>10</v>
      </c>
      <c r="H138" s="16">
        <v>1.5</v>
      </c>
      <c r="I138" s="16">
        <v>1.5</v>
      </c>
      <c r="J138" s="16">
        <v>1.5</v>
      </c>
      <c r="K138" s="17">
        <v>12</v>
      </c>
    </row>
    <row r="139" spans="1:11" ht="13.2" x14ac:dyDescent="0.25">
      <c r="A139" s="4" t="s">
        <v>72</v>
      </c>
      <c r="B139" s="4">
        <v>1</v>
      </c>
      <c r="C139" s="5" t="s">
        <v>183</v>
      </c>
      <c r="D139" s="5">
        <v>2</v>
      </c>
      <c r="E139" s="4" t="s">
        <v>158</v>
      </c>
      <c r="F139" s="6">
        <v>2200</v>
      </c>
      <c r="G139" s="7">
        <f t="shared" si="5"/>
        <v>10</v>
      </c>
      <c r="H139" s="16">
        <v>1.5</v>
      </c>
      <c r="I139" s="16">
        <v>1.5</v>
      </c>
      <c r="J139" s="16">
        <v>1.5</v>
      </c>
      <c r="K139" s="17">
        <v>12</v>
      </c>
    </row>
    <row r="140" spans="1:11" ht="13.2" x14ac:dyDescent="0.25">
      <c r="A140" s="4"/>
      <c r="B140" s="4"/>
      <c r="C140" s="5"/>
      <c r="D140" s="5"/>
      <c r="E140" s="4"/>
      <c r="F140" s="6"/>
      <c r="G140" s="7"/>
      <c r="H140" s="16"/>
      <c r="I140" s="16"/>
      <c r="J140" s="16"/>
      <c r="K140" s="17"/>
    </row>
    <row r="141" spans="1:11" ht="13.2" x14ac:dyDescent="0.25">
      <c r="A141" s="4"/>
      <c r="B141" s="4"/>
      <c r="C141" s="5"/>
      <c r="D141" s="5"/>
      <c r="E141" s="4"/>
      <c r="F141" s="6"/>
      <c r="G141" s="7"/>
      <c r="H141" s="16"/>
      <c r="I141" s="16"/>
      <c r="J141" s="16"/>
      <c r="K141" s="17"/>
    </row>
    <row r="142" spans="1:11" ht="39.6" x14ac:dyDescent="0.25">
      <c r="A142" s="1" t="s">
        <v>159</v>
      </c>
      <c r="B142" s="18" t="s">
        <v>1</v>
      </c>
      <c r="C142" s="19" t="s">
        <v>178</v>
      </c>
      <c r="D142" s="20" t="s">
        <v>184</v>
      </c>
      <c r="E142" s="19" t="s">
        <v>2</v>
      </c>
      <c r="F142" s="19" t="s">
        <v>3</v>
      </c>
      <c r="G142" s="21" t="s">
        <v>4</v>
      </c>
      <c r="H142" s="22" t="s">
        <v>179</v>
      </c>
      <c r="I142" s="18" t="s">
        <v>180</v>
      </c>
      <c r="J142" s="23" t="s">
        <v>181</v>
      </c>
      <c r="K142" s="18" t="s">
        <v>182</v>
      </c>
    </row>
    <row r="143" spans="1:11" ht="13.2" x14ac:dyDescent="0.25">
      <c r="A143" s="4" t="s">
        <v>72</v>
      </c>
      <c r="B143" s="4">
        <v>1</v>
      </c>
      <c r="C143" s="5" t="s">
        <v>183</v>
      </c>
      <c r="D143" s="5">
        <v>2</v>
      </c>
      <c r="E143" s="4" t="s">
        <v>160</v>
      </c>
      <c r="F143" s="6">
        <v>2200</v>
      </c>
      <c r="G143" s="7">
        <f t="shared" ref="G143:G149" si="6">F143/220</f>
        <v>10</v>
      </c>
      <c r="H143" s="16">
        <v>1.5</v>
      </c>
      <c r="I143" s="16">
        <v>1.5</v>
      </c>
      <c r="J143" s="16">
        <v>1.5</v>
      </c>
      <c r="K143" s="17">
        <v>12</v>
      </c>
    </row>
    <row r="144" spans="1:11" ht="13.2" x14ac:dyDescent="0.25">
      <c r="A144" s="4" t="s">
        <v>72</v>
      </c>
      <c r="B144" s="4">
        <v>1</v>
      </c>
      <c r="C144" s="5" t="s">
        <v>183</v>
      </c>
      <c r="D144" s="5">
        <v>2</v>
      </c>
      <c r="E144" s="4" t="s">
        <v>161</v>
      </c>
      <c r="F144" s="6">
        <v>2200</v>
      </c>
      <c r="G144" s="7">
        <f t="shared" si="6"/>
        <v>10</v>
      </c>
      <c r="H144" s="16">
        <v>1.5</v>
      </c>
      <c r="I144" s="16">
        <v>1.5</v>
      </c>
      <c r="J144" s="16">
        <v>1.5</v>
      </c>
      <c r="K144" s="17">
        <v>12</v>
      </c>
    </row>
    <row r="145" spans="1:11" ht="13.2" x14ac:dyDescent="0.25">
      <c r="A145" s="4" t="s">
        <v>72</v>
      </c>
      <c r="B145" s="4">
        <v>1</v>
      </c>
      <c r="C145" s="5" t="s">
        <v>183</v>
      </c>
      <c r="D145" s="5">
        <v>2</v>
      </c>
      <c r="E145" s="4" t="s">
        <v>162</v>
      </c>
      <c r="F145" s="6">
        <v>2200</v>
      </c>
      <c r="G145" s="7">
        <f t="shared" si="6"/>
        <v>10</v>
      </c>
      <c r="H145" s="16">
        <v>1.5</v>
      </c>
      <c r="I145" s="16">
        <v>1.5</v>
      </c>
      <c r="J145" s="16">
        <v>1.5</v>
      </c>
      <c r="K145" s="17">
        <v>12</v>
      </c>
    </row>
    <row r="146" spans="1:11" ht="13.2" x14ac:dyDescent="0.25">
      <c r="A146" s="4" t="s">
        <v>72</v>
      </c>
      <c r="B146" s="4">
        <v>1</v>
      </c>
      <c r="C146" s="5" t="s">
        <v>183</v>
      </c>
      <c r="D146" s="5">
        <v>2</v>
      </c>
      <c r="E146" s="4" t="s">
        <v>163</v>
      </c>
      <c r="F146" s="6">
        <v>2200</v>
      </c>
      <c r="G146" s="7">
        <f t="shared" si="6"/>
        <v>10</v>
      </c>
      <c r="H146" s="16">
        <v>1.5</v>
      </c>
      <c r="I146" s="16">
        <v>1.5</v>
      </c>
      <c r="J146" s="16">
        <v>1.5</v>
      </c>
      <c r="K146" s="17">
        <v>12</v>
      </c>
    </row>
    <row r="147" spans="1:11" ht="13.2" x14ac:dyDescent="0.25">
      <c r="A147" s="4" t="s">
        <v>72</v>
      </c>
      <c r="B147" s="4">
        <v>1</v>
      </c>
      <c r="C147" s="5" t="s">
        <v>183</v>
      </c>
      <c r="D147" s="5">
        <v>2</v>
      </c>
      <c r="E147" s="4" t="s">
        <v>164</v>
      </c>
      <c r="F147" s="6">
        <v>2200</v>
      </c>
      <c r="G147" s="7">
        <f t="shared" si="6"/>
        <v>10</v>
      </c>
      <c r="H147" s="16">
        <v>1.5</v>
      </c>
      <c r="I147" s="16">
        <v>1.5</v>
      </c>
      <c r="J147" s="16">
        <v>1.5</v>
      </c>
      <c r="K147" s="17">
        <v>12</v>
      </c>
    </row>
    <row r="148" spans="1:11" ht="13.2" x14ac:dyDescent="0.25">
      <c r="A148" s="4" t="s">
        <v>72</v>
      </c>
      <c r="B148" s="4">
        <v>1</v>
      </c>
      <c r="C148" s="5" t="s">
        <v>183</v>
      </c>
      <c r="D148" s="5">
        <v>2</v>
      </c>
      <c r="E148" s="4" t="s">
        <v>165</v>
      </c>
      <c r="F148" s="6">
        <v>2200</v>
      </c>
      <c r="G148" s="7">
        <f t="shared" si="6"/>
        <v>10</v>
      </c>
      <c r="H148" s="16">
        <v>1.5</v>
      </c>
      <c r="I148" s="16">
        <v>1.5</v>
      </c>
      <c r="J148" s="16">
        <v>1.5</v>
      </c>
      <c r="K148" s="17">
        <v>12</v>
      </c>
    </row>
    <row r="149" spans="1:11" ht="13.2" x14ac:dyDescent="0.25">
      <c r="A149" s="4" t="s">
        <v>69</v>
      </c>
      <c r="B149" s="4">
        <v>1</v>
      </c>
      <c r="C149" s="5" t="s">
        <v>183</v>
      </c>
      <c r="D149" s="5">
        <v>2</v>
      </c>
      <c r="E149" s="4" t="s">
        <v>166</v>
      </c>
      <c r="F149" s="6">
        <v>8736</v>
      </c>
      <c r="G149" s="7">
        <f t="shared" si="6"/>
        <v>39.709090909090911</v>
      </c>
      <c r="H149" s="16">
        <v>6</v>
      </c>
      <c r="I149" s="16">
        <v>6</v>
      </c>
      <c r="J149" s="16">
        <v>6</v>
      </c>
      <c r="K149" s="17">
        <v>50</v>
      </c>
    </row>
    <row r="150" spans="1:11" ht="13.2" x14ac:dyDescent="0.25">
      <c r="A150" s="4"/>
      <c r="B150" s="4"/>
      <c r="C150" s="5"/>
      <c r="D150" s="5"/>
      <c r="E150" s="4"/>
      <c r="F150" s="6"/>
      <c r="G150" s="7"/>
      <c r="H150" s="16"/>
      <c r="I150" s="16"/>
      <c r="J150" s="16"/>
      <c r="K150" s="17"/>
    </row>
    <row r="151" spans="1:11" ht="13.2" x14ac:dyDescent="0.25">
      <c r="A151" s="4"/>
      <c r="B151" s="4"/>
      <c r="C151" s="5"/>
      <c r="D151" s="5"/>
      <c r="E151" s="4"/>
      <c r="F151" s="6"/>
      <c r="G151" s="7"/>
      <c r="H151" s="16"/>
      <c r="I151" s="16"/>
      <c r="J151" s="16"/>
      <c r="K151" s="17"/>
    </row>
    <row r="152" spans="1:11" ht="39.6" x14ac:dyDescent="0.25">
      <c r="A152" s="1" t="s">
        <v>167</v>
      </c>
      <c r="B152" s="18" t="s">
        <v>1</v>
      </c>
      <c r="C152" s="19" t="s">
        <v>178</v>
      </c>
      <c r="D152" s="20" t="s">
        <v>184</v>
      </c>
      <c r="E152" s="19" t="s">
        <v>2</v>
      </c>
      <c r="F152" s="19" t="s">
        <v>3</v>
      </c>
      <c r="G152" s="21" t="s">
        <v>4</v>
      </c>
      <c r="H152" s="22" t="s">
        <v>179</v>
      </c>
      <c r="I152" s="18" t="s">
        <v>180</v>
      </c>
      <c r="J152" s="23" t="s">
        <v>181</v>
      </c>
      <c r="K152" s="18" t="s">
        <v>182</v>
      </c>
    </row>
    <row r="153" spans="1:11" ht="13.2" x14ac:dyDescent="0.25">
      <c r="A153" s="4" t="s">
        <v>69</v>
      </c>
      <c r="B153" s="4">
        <v>1</v>
      </c>
      <c r="C153" s="5" t="s">
        <v>183</v>
      </c>
      <c r="D153" s="5">
        <v>2</v>
      </c>
      <c r="E153" s="4" t="s">
        <v>168</v>
      </c>
      <c r="F153" s="6">
        <v>8736</v>
      </c>
      <c r="G153" s="7">
        <f t="shared" ref="G153:G162" si="7">F153/220</f>
        <v>39.709090909090911</v>
      </c>
      <c r="H153" s="16">
        <v>6</v>
      </c>
      <c r="I153" s="16">
        <v>6</v>
      </c>
      <c r="J153" s="16">
        <v>6</v>
      </c>
      <c r="K153" s="17">
        <v>50</v>
      </c>
    </row>
    <row r="154" spans="1:11" ht="13.2" x14ac:dyDescent="0.25">
      <c r="A154" s="4" t="s">
        <v>72</v>
      </c>
      <c r="B154" s="4">
        <v>1</v>
      </c>
      <c r="C154" s="5" t="s">
        <v>183</v>
      </c>
      <c r="D154" s="5">
        <v>2</v>
      </c>
      <c r="E154" s="4" t="s">
        <v>169</v>
      </c>
      <c r="F154" s="6">
        <v>2200</v>
      </c>
      <c r="G154" s="7">
        <f t="shared" si="7"/>
        <v>10</v>
      </c>
      <c r="H154" s="16">
        <v>1.5</v>
      </c>
      <c r="I154" s="16">
        <v>1.5</v>
      </c>
      <c r="J154" s="16">
        <v>1.5</v>
      </c>
      <c r="K154" s="17">
        <v>12</v>
      </c>
    </row>
    <row r="155" spans="1:11" ht="13.2" x14ac:dyDescent="0.25">
      <c r="A155" s="4" t="s">
        <v>72</v>
      </c>
      <c r="B155" s="4">
        <v>1</v>
      </c>
      <c r="C155" s="5" t="s">
        <v>183</v>
      </c>
      <c r="D155" s="5">
        <v>2</v>
      </c>
      <c r="E155" s="4" t="s">
        <v>170</v>
      </c>
      <c r="F155" s="6">
        <v>2200</v>
      </c>
      <c r="G155" s="7">
        <f t="shared" si="7"/>
        <v>10</v>
      </c>
      <c r="H155" s="16">
        <v>1.5</v>
      </c>
      <c r="I155" s="16">
        <v>1.5</v>
      </c>
      <c r="J155" s="16">
        <v>1.5</v>
      </c>
      <c r="K155" s="17">
        <v>12</v>
      </c>
    </row>
    <row r="156" spans="1:11" ht="13.2" x14ac:dyDescent="0.25">
      <c r="A156" s="4" t="s">
        <v>72</v>
      </c>
      <c r="B156" s="4">
        <v>1</v>
      </c>
      <c r="C156" s="5" t="s">
        <v>183</v>
      </c>
      <c r="D156" s="5">
        <v>2</v>
      </c>
      <c r="E156" s="4" t="s">
        <v>171</v>
      </c>
      <c r="F156" s="6">
        <v>2200</v>
      </c>
      <c r="G156" s="7">
        <f t="shared" si="7"/>
        <v>10</v>
      </c>
      <c r="H156" s="16">
        <v>1.5</v>
      </c>
      <c r="I156" s="16">
        <v>1.5</v>
      </c>
      <c r="J156" s="16">
        <v>1.5</v>
      </c>
      <c r="K156" s="17">
        <v>12</v>
      </c>
    </row>
    <row r="157" spans="1:11" ht="13.2" x14ac:dyDescent="0.25">
      <c r="A157" s="4" t="s">
        <v>72</v>
      </c>
      <c r="B157" s="4">
        <v>1</v>
      </c>
      <c r="C157" s="5" t="s">
        <v>183</v>
      </c>
      <c r="D157" s="5">
        <v>2</v>
      </c>
      <c r="E157" s="4" t="s">
        <v>172</v>
      </c>
      <c r="F157" s="6">
        <v>2200</v>
      </c>
      <c r="G157" s="7">
        <f t="shared" si="7"/>
        <v>10</v>
      </c>
      <c r="H157" s="16">
        <v>1.5</v>
      </c>
      <c r="I157" s="16">
        <v>1.5</v>
      </c>
      <c r="J157" s="16">
        <v>1.5</v>
      </c>
      <c r="K157" s="17">
        <v>12</v>
      </c>
    </row>
    <row r="158" spans="1:11" ht="13.2" x14ac:dyDescent="0.25">
      <c r="A158" s="4" t="s">
        <v>72</v>
      </c>
      <c r="B158" s="4">
        <v>1</v>
      </c>
      <c r="C158" s="5" t="s">
        <v>183</v>
      </c>
      <c r="D158" s="5">
        <v>2</v>
      </c>
      <c r="E158" s="4" t="s">
        <v>173</v>
      </c>
      <c r="F158" s="6">
        <v>2200</v>
      </c>
      <c r="G158" s="7">
        <f t="shared" si="7"/>
        <v>10</v>
      </c>
      <c r="H158" s="16">
        <v>1.5</v>
      </c>
      <c r="I158" s="16">
        <v>1.5</v>
      </c>
      <c r="J158" s="16">
        <v>1.5</v>
      </c>
      <c r="K158" s="17">
        <v>12</v>
      </c>
    </row>
    <row r="159" spans="1:11" ht="13.2" x14ac:dyDescent="0.25">
      <c r="A159" s="4" t="s">
        <v>72</v>
      </c>
      <c r="B159" s="4">
        <v>1</v>
      </c>
      <c r="C159" s="5" t="s">
        <v>183</v>
      </c>
      <c r="D159" s="5">
        <v>2</v>
      </c>
      <c r="E159" s="4" t="s">
        <v>174</v>
      </c>
      <c r="F159" s="6">
        <v>2200</v>
      </c>
      <c r="G159" s="7">
        <f t="shared" si="7"/>
        <v>10</v>
      </c>
      <c r="H159" s="16">
        <v>1.5</v>
      </c>
      <c r="I159" s="16">
        <v>1.5</v>
      </c>
      <c r="J159" s="16">
        <v>1.5</v>
      </c>
      <c r="K159" s="17">
        <v>12</v>
      </c>
    </row>
    <row r="160" spans="1:11" ht="13.2" x14ac:dyDescent="0.25">
      <c r="A160" s="4" t="s">
        <v>72</v>
      </c>
      <c r="B160" s="4">
        <v>1</v>
      </c>
      <c r="C160" s="5" t="s">
        <v>183</v>
      </c>
      <c r="D160" s="5">
        <v>2</v>
      </c>
      <c r="E160" s="4" t="s">
        <v>175</v>
      </c>
      <c r="F160" s="6">
        <v>2200</v>
      </c>
      <c r="G160" s="7">
        <f t="shared" si="7"/>
        <v>10</v>
      </c>
      <c r="H160" s="16">
        <v>1.5</v>
      </c>
      <c r="I160" s="16">
        <v>1.5</v>
      </c>
      <c r="J160" s="16">
        <v>1.5</v>
      </c>
      <c r="K160" s="17">
        <v>12</v>
      </c>
    </row>
    <row r="161" spans="1:11" ht="13.2" x14ac:dyDescent="0.25">
      <c r="A161" s="4" t="s">
        <v>72</v>
      </c>
      <c r="B161" s="4">
        <v>1</v>
      </c>
      <c r="C161" s="5" t="s">
        <v>183</v>
      </c>
      <c r="D161" s="5">
        <v>2</v>
      </c>
      <c r="E161" s="4" t="s">
        <v>176</v>
      </c>
      <c r="F161" s="6">
        <v>2200</v>
      </c>
      <c r="G161" s="7">
        <f t="shared" si="7"/>
        <v>10</v>
      </c>
      <c r="H161" s="16">
        <v>1.5</v>
      </c>
      <c r="I161" s="16">
        <v>1.5</v>
      </c>
      <c r="J161" s="16">
        <v>1.5</v>
      </c>
      <c r="K161" s="17">
        <v>12</v>
      </c>
    </row>
    <row r="162" spans="1:11" ht="13.2" x14ac:dyDescent="0.25">
      <c r="A162" s="4" t="s">
        <v>72</v>
      </c>
      <c r="B162" s="4">
        <v>1</v>
      </c>
      <c r="C162" s="5" t="s">
        <v>183</v>
      </c>
      <c r="D162" s="5">
        <v>2</v>
      </c>
      <c r="E162" s="4" t="s">
        <v>177</v>
      </c>
      <c r="F162" s="6">
        <v>2200</v>
      </c>
      <c r="G162" s="7">
        <f t="shared" si="7"/>
        <v>10</v>
      </c>
      <c r="H162" s="16">
        <v>1.5</v>
      </c>
      <c r="I162" s="16">
        <v>1.5</v>
      </c>
      <c r="J162" s="16">
        <v>1.5</v>
      </c>
      <c r="K162" s="17">
        <v>12</v>
      </c>
    </row>
    <row r="163" spans="1:11" ht="13.2" x14ac:dyDescent="0.25">
      <c r="H163" s="16"/>
    </row>
    <row r="164" spans="1:11" ht="13.2" x14ac:dyDescent="0.25">
      <c r="H164" s="16"/>
    </row>
    <row r="165" spans="1:11" ht="13.2" x14ac:dyDescent="0.25">
      <c r="H165" s="16"/>
    </row>
    <row r="166" spans="1:11" ht="13.2" x14ac:dyDescent="0.25">
      <c r="H166" s="16"/>
    </row>
    <row r="167" spans="1:11" ht="13.2" x14ac:dyDescent="0.25">
      <c r="H167" s="16"/>
    </row>
    <row r="168" spans="1:11" ht="13.2" x14ac:dyDescent="0.25">
      <c r="H168" s="16"/>
    </row>
    <row r="169" spans="1:11" ht="13.2" x14ac:dyDescent="0.25">
      <c r="H169" s="16"/>
    </row>
    <row r="170" spans="1:11" ht="13.2" x14ac:dyDescent="0.25">
      <c r="H170" s="16"/>
    </row>
    <row r="171" spans="1:11" ht="13.2" x14ac:dyDescent="0.25">
      <c r="H171" s="16"/>
    </row>
    <row r="172" spans="1:11" ht="13.2" x14ac:dyDescent="0.25">
      <c r="H172" s="16"/>
    </row>
    <row r="173" spans="1:11" ht="13.2" x14ac:dyDescent="0.25">
      <c r="H173" s="16"/>
    </row>
    <row r="174" spans="1:11" ht="13.2" x14ac:dyDescent="0.25">
      <c r="H174" s="16"/>
    </row>
    <row r="175" spans="1:11" ht="13.2" x14ac:dyDescent="0.25">
      <c r="H175" s="16"/>
    </row>
    <row r="176" spans="1:11" ht="13.2" x14ac:dyDescent="0.25">
      <c r="H176" s="16"/>
    </row>
    <row r="177" spans="8:8" ht="13.2" x14ac:dyDescent="0.25">
      <c r="H177" s="16"/>
    </row>
    <row r="178" spans="8:8" ht="13.2" x14ac:dyDescent="0.25">
      <c r="H178" s="16"/>
    </row>
    <row r="179" spans="8:8" ht="13.2" x14ac:dyDescent="0.25">
      <c r="H179" s="16"/>
    </row>
    <row r="180" spans="8:8" ht="13.2" x14ac:dyDescent="0.25">
      <c r="H180" s="16"/>
    </row>
    <row r="181" spans="8:8" ht="13.2" x14ac:dyDescent="0.25">
      <c r="H181" s="16"/>
    </row>
    <row r="182" spans="8:8" ht="13.2" x14ac:dyDescent="0.25">
      <c r="H182" s="16"/>
    </row>
    <row r="183" spans="8:8" ht="13.2" x14ac:dyDescent="0.25">
      <c r="H183" s="16"/>
    </row>
    <row r="184" spans="8:8" ht="13.2" x14ac:dyDescent="0.25">
      <c r="H184" s="16"/>
    </row>
    <row r="185" spans="8:8" ht="13.2" x14ac:dyDescent="0.25">
      <c r="H185" s="16"/>
    </row>
    <row r="186" spans="8:8" ht="13.2" x14ac:dyDescent="0.25">
      <c r="H186" s="16"/>
    </row>
    <row r="187" spans="8:8" ht="13.2" x14ac:dyDescent="0.25">
      <c r="H187" s="16"/>
    </row>
    <row r="188" spans="8:8" ht="13.2" x14ac:dyDescent="0.25">
      <c r="H188" s="16"/>
    </row>
    <row r="189" spans="8:8" ht="13.2" x14ac:dyDescent="0.25">
      <c r="H189" s="16"/>
    </row>
    <row r="190" spans="8:8" ht="13.2" x14ac:dyDescent="0.25">
      <c r="H190" s="16"/>
    </row>
    <row r="191" spans="8:8" ht="13.2" x14ac:dyDescent="0.25">
      <c r="H191" s="16"/>
    </row>
    <row r="192" spans="8:8" ht="13.2" x14ac:dyDescent="0.25">
      <c r="H192" s="16"/>
    </row>
    <row r="193" spans="8:8" ht="13.2" x14ac:dyDescent="0.25">
      <c r="H193" s="16"/>
    </row>
    <row r="194" spans="8:8" ht="13.2" x14ac:dyDescent="0.25">
      <c r="H194" s="16"/>
    </row>
    <row r="195" spans="8:8" ht="13.2" x14ac:dyDescent="0.25">
      <c r="H195" s="16"/>
    </row>
    <row r="196" spans="8:8" ht="13.2" x14ac:dyDescent="0.25">
      <c r="H196" s="16"/>
    </row>
    <row r="197" spans="8:8" ht="13.2" x14ac:dyDescent="0.25">
      <c r="H197" s="16"/>
    </row>
    <row r="198" spans="8:8" ht="13.2" x14ac:dyDescent="0.25">
      <c r="H198" s="16"/>
    </row>
    <row r="199" spans="8:8" ht="13.2" x14ac:dyDescent="0.25">
      <c r="H199" s="16"/>
    </row>
    <row r="200" spans="8:8" ht="13.2" x14ac:dyDescent="0.25">
      <c r="H200" s="16"/>
    </row>
    <row r="201" spans="8:8" ht="13.2" x14ac:dyDescent="0.25">
      <c r="H201" s="16"/>
    </row>
    <row r="202" spans="8:8" ht="13.2" x14ac:dyDescent="0.25">
      <c r="H202" s="16"/>
    </row>
    <row r="203" spans="8:8" ht="13.2" x14ac:dyDescent="0.25">
      <c r="H203" s="16"/>
    </row>
    <row r="204" spans="8:8" ht="13.2" x14ac:dyDescent="0.25">
      <c r="H204" s="16"/>
    </row>
    <row r="205" spans="8:8" ht="13.2" x14ac:dyDescent="0.25">
      <c r="H205" s="16"/>
    </row>
    <row r="206" spans="8:8" ht="13.2" x14ac:dyDescent="0.25">
      <c r="H206" s="16"/>
    </row>
    <row r="207" spans="8:8" ht="13.2" x14ac:dyDescent="0.25">
      <c r="H207" s="16"/>
    </row>
    <row r="208" spans="8:8" ht="13.2" x14ac:dyDescent="0.25">
      <c r="H208" s="16"/>
    </row>
    <row r="209" spans="8:8" ht="13.2" x14ac:dyDescent="0.25">
      <c r="H209" s="16"/>
    </row>
    <row r="210" spans="8:8" ht="13.2" x14ac:dyDescent="0.25">
      <c r="H210" s="16"/>
    </row>
    <row r="211" spans="8:8" ht="13.2" x14ac:dyDescent="0.25">
      <c r="H211" s="16"/>
    </row>
    <row r="212" spans="8:8" ht="13.2" x14ac:dyDescent="0.25">
      <c r="H212" s="16"/>
    </row>
    <row r="213" spans="8:8" ht="13.2" x14ac:dyDescent="0.25">
      <c r="H213" s="16"/>
    </row>
    <row r="214" spans="8:8" ht="13.2" x14ac:dyDescent="0.25">
      <c r="H214" s="16"/>
    </row>
    <row r="215" spans="8:8" ht="13.2" x14ac:dyDescent="0.25">
      <c r="H215" s="16"/>
    </row>
    <row r="216" spans="8:8" ht="13.2" x14ac:dyDescent="0.25">
      <c r="H216" s="16"/>
    </row>
    <row r="217" spans="8:8" ht="13.2" x14ac:dyDescent="0.25">
      <c r="H217" s="16"/>
    </row>
    <row r="218" spans="8:8" ht="13.2" x14ac:dyDescent="0.25">
      <c r="H218" s="16"/>
    </row>
    <row r="219" spans="8:8" ht="13.2" x14ac:dyDescent="0.25">
      <c r="H219" s="16"/>
    </row>
    <row r="220" spans="8:8" ht="13.2" x14ac:dyDescent="0.25">
      <c r="H220" s="16"/>
    </row>
    <row r="221" spans="8:8" ht="13.2" x14ac:dyDescent="0.25">
      <c r="H221" s="16"/>
    </row>
    <row r="222" spans="8:8" ht="13.2" x14ac:dyDescent="0.25">
      <c r="H222" s="16"/>
    </row>
    <row r="223" spans="8:8" ht="13.2" x14ac:dyDescent="0.25">
      <c r="H223" s="16"/>
    </row>
    <row r="224" spans="8:8" ht="13.2" x14ac:dyDescent="0.25">
      <c r="H224" s="16"/>
    </row>
    <row r="225" spans="8:8" ht="13.2" x14ac:dyDescent="0.25">
      <c r="H225" s="16"/>
    </row>
    <row r="226" spans="8:8" ht="13.2" x14ac:dyDescent="0.25">
      <c r="H226" s="16"/>
    </row>
    <row r="227" spans="8:8" ht="13.2" x14ac:dyDescent="0.25">
      <c r="H227" s="16"/>
    </row>
    <row r="228" spans="8:8" ht="13.2" x14ac:dyDescent="0.25">
      <c r="H228" s="16"/>
    </row>
    <row r="229" spans="8:8" ht="13.2" x14ac:dyDescent="0.25">
      <c r="H229" s="16"/>
    </row>
    <row r="230" spans="8:8" ht="13.2" x14ac:dyDescent="0.25">
      <c r="H230" s="16"/>
    </row>
    <row r="231" spans="8:8" ht="13.2" x14ac:dyDescent="0.25">
      <c r="H231" s="16"/>
    </row>
    <row r="232" spans="8:8" ht="13.2" x14ac:dyDescent="0.25">
      <c r="H232" s="16"/>
    </row>
    <row r="233" spans="8:8" ht="13.2" x14ac:dyDescent="0.25">
      <c r="H233" s="16"/>
    </row>
    <row r="234" spans="8:8" ht="13.2" x14ac:dyDescent="0.25">
      <c r="H234" s="16"/>
    </row>
    <row r="235" spans="8:8" ht="13.2" x14ac:dyDescent="0.25">
      <c r="H235" s="16"/>
    </row>
    <row r="236" spans="8:8" ht="13.2" x14ac:dyDescent="0.25">
      <c r="H236" s="16"/>
    </row>
    <row r="237" spans="8:8" ht="13.2" x14ac:dyDescent="0.25">
      <c r="H237" s="16"/>
    </row>
    <row r="238" spans="8:8" ht="13.2" x14ac:dyDescent="0.25">
      <c r="H238" s="16"/>
    </row>
    <row r="239" spans="8:8" ht="13.2" x14ac:dyDescent="0.25">
      <c r="H239" s="16"/>
    </row>
    <row r="240" spans="8:8" ht="13.2" x14ac:dyDescent="0.25">
      <c r="H240" s="16"/>
    </row>
    <row r="241" spans="8:8" ht="13.2" x14ac:dyDescent="0.25">
      <c r="H241" s="16"/>
    </row>
    <row r="242" spans="8:8" ht="13.2" x14ac:dyDescent="0.25">
      <c r="H242" s="16"/>
    </row>
    <row r="243" spans="8:8" ht="13.2" x14ac:dyDescent="0.25">
      <c r="H243" s="16"/>
    </row>
    <row r="244" spans="8:8" ht="13.2" x14ac:dyDescent="0.25">
      <c r="H244" s="16"/>
    </row>
    <row r="245" spans="8:8" ht="13.2" x14ac:dyDescent="0.25">
      <c r="H245" s="16"/>
    </row>
    <row r="246" spans="8:8" ht="13.2" x14ac:dyDescent="0.25">
      <c r="H246" s="16"/>
    </row>
    <row r="247" spans="8:8" ht="13.2" x14ac:dyDescent="0.25">
      <c r="H247" s="16"/>
    </row>
    <row r="248" spans="8:8" ht="13.2" x14ac:dyDescent="0.25">
      <c r="H248" s="16"/>
    </row>
    <row r="249" spans="8:8" ht="13.2" x14ac:dyDescent="0.25">
      <c r="H249" s="16"/>
    </row>
    <row r="250" spans="8:8" ht="13.2" x14ac:dyDescent="0.25">
      <c r="H250" s="16"/>
    </row>
    <row r="251" spans="8:8" ht="13.2" x14ac:dyDescent="0.25">
      <c r="H251" s="16"/>
    </row>
    <row r="252" spans="8:8" ht="13.2" x14ac:dyDescent="0.25">
      <c r="H252" s="16"/>
    </row>
    <row r="253" spans="8:8" ht="13.2" x14ac:dyDescent="0.25">
      <c r="H253" s="16"/>
    </row>
    <row r="254" spans="8:8" ht="13.2" x14ac:dyDescent="0.25">
      <c r="H254" s="16"/>
    </row>
    <row r="255" spans="8:8" ht="13.2" x14ac:dyDescent="0.25">
      <c r="H255" s="16"/>
    </row>
    <row r="256" spans="8:8" ht="13.2" x14ac:dyDescent="0.25">
      <c r="H256" s="16"/>
    </row>
    <row r="257" spans="8:8" ht="13.2" x14ac:dyDescent="0.25">
      <c r="H257" s="16"/>
    </row>
    <row r="258" spans="8:8" ht="13.2" x14ac:dyDescent="0.25">
      <c r="H258" s="16"/>
    </row>
    <row r="259" spans="8:8" ht="13.2" x14ac:dyDescent="0.25">
      <c r="H259" s="16"/>
    </row>
    <row r="260" spans="8:8" ht="13.2" x14ac:dyDescent="0.25">
      <c r="H260" s="16"/>
    </row>
    <row r="261" spans="8:8" ht="13.2" x14ac:dyDescent="0.25">
      <c r="H261" s="16"/>
    </row>
    <row r="262" spans="8:8" ht="13.2" x14ac:dyDescent="0.25">
      <c r="H262" s="16"/>
    </row>
    <row r="263" spans="8:8" ht="13.2" x14ac:dyDescent="0.25">
      <c r="H263" s="16"/>
    </row>
    <row r="264" spans="8:8" ht="13.2" x14ac:dyDescent="0.25">
      <c r="H264" s="16"/>
    </row>
    <row r="265" spans="8:8" ht="13.2" x14ac:dyDescent="0.25">
      <c r="H265" s="16"/>
    </row>
    <row r="266" spans="8:8" ht="13.2" x14ac:dyDescent="0.25">
      <c r="H266" s="16"/>
    </row>
    <row r="267" spans="8:8" ht="13.2" x14ac:dyDescent="0.25">
      <c r="H267" s="16"/>
    </row>
    <row r="268" spans="8:8" ht="13.2" x14ac:dyDescent="0.25">
      <c r="H268" s="16"/>
    </row>
    <row r="269" spans="8:8" ht="13.2" x14ac:dyDescent="0.25">
      <c r="H269" s="16"/>
    </row>
    <row r="270" spans="8:8" ht="13.2" x14ac:dyDescent="0.25">
      <c r="H270" s="16"/>
    </row>
    <row r="271" spans="8:8" ht="13.2" x14ac:dyDescent="0.25">
      <c r="H271" s="16"/>
    </row>
    <row r="272" spans="8:8" ht="13.2" x14ac:dyDescent="0.25">
      <c r="H272" s="16"/>
    </row>
    <row r="273" spans="8:8" ht="13.2" x14ac:dyDescent="0.25">
      <c r="H273" s="16"/>
    </row>
    <row r="274" spans="8:8" ht="13.2" x14ac:dyDescent="0.25">
      <c r="H274" s="16"/>
    </row>
    <row r="275" spans="8:8" ht="13.2" x14ac:dyDescent="0.25">
      <c r="H275" s="16"/>
    </row>
    <row r="276" spans="8:8" ht="13.2" x14ac:dyDescent="0.25">
      <c r="H276" s="16"/>
    </row>
    <row r="277" spans="8:8" ht="13.2" x14ac:dyDescent="0.25">
      <c r="H277" s="16"/>
    </row>
    <row r="278" spans="8:8" ht="13.2" x14ac:dyDescent="0.25">
      <c r="H278" s="16"/>
    </row>
    <row r="279" spans="8:8" ht="13.2" x14ac:dyDescent="0.25">
      <c r="H279" s="16"/>
    </row>
    <row r="280" spans="8:8" ht="13.2" x14ac:dyDescent="0.25">
      <c r="H280" s="16"/>
    </row>
    <row r="281" spans="8:8" ht="13.2" x14ac:dyDescent="0.25">
      <c r="H281" s="16"/>
    </row>
    <row r="282" spans="8:8" ht="13.2" x14ac:dyDescent="0.25">
      <c r="H282" s="16"/>
    </row>
    <row r="283" spans="8:8" ht="13.2" x14ac:dyDescent="0.25">
      <c r="H283" s="16"/>
    </row>
    <row r="284" spans="8:8" ht="13.2" x14ac:dyDescent="0.25">
      <c r="H284" s="16"/>
    </row>
    <row r="285" spans="8:8" ht="13.2" x14ac:dyDescent="0.25">
      <c r="H285" s="16"/>
    </row>
    <row r="286" spans="8:8" ht="13.2" x14ac:dyDescent="0.25">
      <c r="H286" s="16"/>
    </row>
    <row r="287" spans="8:8" ht="13.2" x14ac:dyDescent="0.25">
      <c r="H287" s="16"/>
    </row>
    <row r="288" spans="8:8" ht="13.2" x14ac:dyDescent="0.25">
      <c r="H288" s="16"/>
    </row>
    <row r="289" spans="8:8" ht="13.2" x14ac:dyDescent="0.25">
      <c r="H289" s="16"/>
    </row>
    <row r="290" spans="8:8" ht="13.2" x14ac:dyDescent="0.25">
      <c r="H290" s="16"/>
    </row>
    <row r="291" spans="8:8" ht="13.2" x14ac:dyDescent="0.25">
      <c r="H291" s="16"/>
    </row>
    <row r="292" spans="8:8" ht="13.2" x14ac:dyDescent="0.25">
      <c r="H292" s="16"/>
    </row>
    <row r="293" spans="8:8" ht="13.2" x14ac:dyDescent="0.25">
      <c r="H293" s="16"/>
    </row>
    <row r="294" spans="8:8" ht="13.2" x14ac:dyDescent="0.25">
      <c r="H294" s="16"/>
    </row>
    <row r="295" spans="8:8" ht="13.2" x14ac:dyDescent="0.25">
      <c r="H295" s="16"/>
    </row>
    <row r="296" spans="8:8" ht="13.2" x14ac:dyDescent="0.25">
      <c r="H296" s="16"/>
    </row>
    <row r="297" spans="8:8" ht="13.2" x14ac:dyDescent="0.25">
      <c r="H297" s="16"/>
    </row>
    <row r="298" spans="8:8" ht="13.2" x14ac:dyDescent="0.25">
      <c r="H298" s="16"/>
    </row>
    <row r="299" spans="8:8" ht="13.2" x14ac:dyDescent="0.25">
      <c r="H299" s="16"/>
    </row>
    <row r="300" spans="8:8" ht="13.2" x14ac:dyDescent="0.25">
      <c r="H300" s="16"/>
    </row>
    <row r="301" spans="8:8" ht="13.2" x14ac:dyDescent="0.25">
      <c r="H301" s="16"/>
    </row>
    <row r="302" spans="8:8" ht="13.2" x14ac:dyDescent="0.25">
      <c r="H302" s="16"/>
    </row>
    <row r="303" spans="8:8" ht="13.2" x14ac:dyDescent="0.25">
      <c r="H303" s="16"/>
    </row>
    <row r="304" spans="8:8" ht="13.2" x14ac:dyDescent="0.25">
      <c r="H304" s="16"/>
    </row>
    <row r="305" spans="8:8" ht="13.2" x14ac:dyDescent="0.25">
      <c r="H305" s="16"/>
    </row>
    <row r="306" spans="8:8" ht="13.2" x14ac:dyDescent="0.25">
      <c r="H306" s="16"/>
    </row>
    <row r="307" spans="8:8" ht="13.2" x14ac:dyDescent="0.25">
      <c r="H307" s="16"/>
    </row>
    <row r="308" spans="8:8" ht="13.2" x14ac:dyDescent="0.25">
      <c r="H308" s="16"/>
    </row>
    <row r="309" spans="8:8" ht="13.2" x14ac:dyDescent="0.25">
      <c r="H309" s="16"/>
    </row>
    <row r="310" spans="8:8" ht="13.2" x14ac:dyDescent="0.25">
      <c r="H310" s="16"/>
    </row>
    <row r="311" spans="8:8" ht="13.2" x14ac:dyDescent="0.25">
      <c r="H311" s="16"/>
    </row>
    <row r="312" spans="8:8" ht="13.2" x14ac:dyDescent="0.25">
      <c r="H312" s="16"/>
    </row>
    <row r="313" spans="8:8" ht="13.2" x14ac:dyDescent="0.25">
      <c r="H313" s="16"/>
    </row>
    <row r="314" spans="8:8" ht="13.2" x14ac:dyDescent="0.25">
      <c r="H314" s="16"/>
    </row>
    <row r="315" spans="8:8" ht="13.2" x14ac:dyDescent="0.25">
      <c r="H315" s="16"/>
    </row>
    <row r="316" spans="8:8" ht="13.2" x14ac:dyDescent="0.25">
      <c r="H316" s="16"/>
    </row>
    <row r="317" spans="8:8" ht="13.2" x14ac:dyDescent="0.25">
      <c r="H317" s="16"/>
    </row>
    <row r="318" spans="8:8" ht="13.2" x14ac:dyDescent="0.25">
      <c r="H318" s="16"/>
    </row>
    <row r="319" spans="8:8" ht="13.2" x14ac:dyDescent="0.25">
      <c r="H319" s="16"/>
    </row>
    <row r="320" spans="8:8" ht="13.2" x14ac:dyDescent="0.25">
      <c r="H320" s="16"/>
    </row>
    <row r="321" spans="8:8" ht="13.2" x14ac:dyDescent="0.25">
      <c r="H321" s="16"/>
    </row>
    <row r="322" spans="8:8" ht="13.2" x14ac:dyDescent="0.25">
      <c r="H322" s="16"/>
    </row>
    <row r="323" spans="8:8" ht="13.2" x14ac:dyDescent="0.25">
      <c r="H323" s="16"/>
    </row>
    <row r="324" spans="8:8" ht="13.2" x14ac:dyDescent="0.25">
      <c r="H324" s="16"/>
    </row>
    <row r="325" spans="8:8" ht="13.2" x14ac:dyDescent="0.25">
      <c r="H325" s="16"/>
    </row>
    <row r="326" spans="8:8" ht="13.2" x14ac:dyDescent="0.25">
      <c r="H326" s="16"/>
    </row>
    <row r="327" spans="8:8" ht="13.2" x14ac:dyDescent="0.25">
      <c r="H327" s="16"/>
    </row>
    <row r="328" spans="8:8" ht="13.2" x14ac:dyDescent="0.25">
      <c r="H328" s="16"/>
    </row>
    <row r="329" spans="8:8" ht="13.2" x14ac:dyDescent="0.25">
      <c r="H329" s="16"/>
    </row>
    <row r="330" spans="8:8" ht="13.2" x14ac:dyDescent="0.25">
      <c r="H330" s="16"/>
    </row>
    <row r="331" spans="8:8" ht="13.2" x14ac:dyDescent="0.25">
      <c r="H331" s="16"/>
    </row>
    <row r="332" spans="8:8" ht="13.2" x14ac:dyDescent="0.25">
      <c r="H332" s="16"/>
    </row>
    <row r="333" spans="8:8" ht="13.2" x14ac:dyDescent="0.25">
      <c r="H333" s="16"/>
    </row>
    <row r="334" spans="8:8" ht="13.2" x14ac:dyDescent="0.25">
      <c r="H334" s="16"/>
    </row>
    <row r="335" spans="8:8" ht="13.2" x14ac:dyDescent="0.25">
      <c r="H335" s="16"/>
    </row>
    <row r="336" spans="8:8" ht="13.2" x14ac:dyDescent="0.25">
      <c r="H336" s="16"/>
    </row>
    <row r="337" spans="8:8" ht="13.2" x14ac:dyDescent="0.25">
      <c r="H337" s="16"/>
    </row>
    <row r="338" spans="8:8" ht="13.2" x14ac:dyDescent="0.25">
      <c r="H338" s="16"/>
    </row>
    <row r="339" spans="8:8" ht="13.2" x14ac:dyDescent="0.25">
      <c r="H339" s="16"/>
    </row>
    <row r="340" spans="8:8" ht="13.2" x14ac:dyDescent="0.25">
      <c r="H340" s="16"/>
    </row>
    <row r="341" spans="8:8" ht="13.2" x14ac:dyDescent="0.25">
      <c r="H341" s="16"/>
    </row>
    <row r="342" spans="8:8" ht="13.2" x14ac:dyDescent="0.25">
      <c r="H342" s="16"/>
    </row>
    <row r="343" spans="8:8" ht="13.2" x14ac:dyDescent="0.25">
      <c r="H343" s="16"/>
    </row>
    <row r="344" spans="8:8" ht="13.2" x14ac:dyDescent="0.25">
      <c r="H344" s="16"/>
    </row>
    <row r="345" spans="8:8" ht="13.2" x14ac:dyDescent="0.25">
      <c r="H345" s="16"/>
    </row>
    <row r="346" spans="8:8" ht="13.2" x14ac:dyDescent="0.25">
      <c r="H346" s="16"/>
    </row>
    <row r="347" spans="8:8" ht="13.2" x14ac:dyDescent="0.25">
      <c r="H347" s="16"/>
    </row>
    <row r="348" spans="8:8" ht="13.2" x14ac:dyDescent="0.25">
      <c r="H348" s="16"/>
    </row>
    <row r="349" spans="8:8" ht="13.2" x14ac:dyDescent="0.25">
      <c r="H349" s="16"/>
    </row>
    <row r="350" spans="8:8" ht="13.2" x14ac:dyDescent="0.25">
      <c r="H350" s="16"/>
    </row>
    <row r="351" spans="8:8" ht="13.2" x14ac:dyDescent="0.25">
      <c r="H351" s="16"/>
    </row>
    <row r="352" spans="8:8" ht="13.2" x14ac:dyDescent="0.25">
      <c r="H352" s="16"/>
    </row>
    <row r="353" spans="8:8" ht="13.2" x14ac:dyDescent="0.25">
      <c r="H353" s="16"/>
    </row>
    <row r="354" spans="8:8" ht="13.2" x14ac:dyDescent="0.25">
      <c r="H354" s="16"/>
    </row>
    <row r="355" spans="8:8" ht="13.2" x14ac:dyDescent="0.25">
      <c r="H355" s="16"/>
    </row>
    <row r="356" spans="8:8" ht="13.2" x14ac:dyDescent="0.25">
      <c r="H356" s="16"/>
    </row>
    <row r="357" spans="8:8" ht="13.2" x14ac:dyDescent="0.25">
      <c r="H357" s="16"/>
    </row>
    <row r="358" spans="8:8" ht="13.2" x14ac:dyDescent="0.25">
      <c r="H358" s="16"/>
    </row>
    <row r="359" spans="8:8" ht="13.2" x14ac:dyDescent="0.25">
      <c r="H359" s="16"/>
    </row>
    <row r="360" spans="8:8" ht="13.2" x14ac:dyDescent="0.25">
      <c r="H360" s="16"/>
    </row>
    <row r="361" spans="8:8" ht="13.2" x14ac:dyDescent="0.25">
      <c r="H361" s="16"/>
    </row>
    <row r="362" spans="8:8" ht="13.2" x14ac:dyDescent="0.25">
      <c r="H362" s="16"/>
    </row>
    <row r="363" spans="8:8" ht="13.2" x14ac:dyDescent="0.25">
      <c r="H363" s="16"/>
    </row>
    <row r="364" spans="8:8" ht="13.2" x14ac:dyDescent="0.25">
      <c r="H364" s="16"/>
    </row>
    <row r="365" spans="8:8" ht="13.2" x14ac:dyDescent="0.25">
      <c r="H365" s="16"/>
    </row>
    <row r="366" spans="8:8" ht="13.2" x14ac:dyDescent="0.25">
      <c r="H366" s="16"/>
    </row>
    <row r="367" spans="8:8" ht="13.2" x14ac:dyDescent="0.25">
      <c r="H367" s="16"/>
    </row>
    <row r="368" spans="8:8" ht="13.2" x14ac:dyDescent="0.25">
      <c r="H368" s="16"/>
    </row>
    <row r="369" spans="8:8" ht="13.2" x14ac:dyDescent="0.25">
      <c r="H369" s="16"/>
    </row>
    <row r="370" spans="8:8" ht="13.2" x14ac:dyDescent="0.25">
      <c r="H370" s="16"/>
    </row>
    <row r="371" spans="8:8" ht="13.2" x14ac:dyDescent="0.25">
      <c r="H371" s="16"/>
    </row>
    <row r="372" spans="8:8" ht="13.2" x14ac:dyDescent="0.25">
      <c r="H372" s="16"/>
    </row>
    <row r="373" spans="8:8" ht="13.2" x14ac:dyDescent="0.25">
      <c r="H373" s="16"/>
    </row>
    <row r="374" spans="8:8" ht="13.2" x14ac:dyDescent="0.25">
      <c r="H374" s="16"/>
    </row>
    <row r="375" spans="8:8" ht="13.2" x14ac:dyDescent="0.25">
      <c r="H375" s="16"/>
    </row>
    <row r="376" spans="8:8" ht="13.2" x14ac:dyDescent="0.25">
      <c r="H376" s="16"/>
    </row>
    <row r="377" spans="8:8" ht="13.2" x14ac:dyDescent="0.25">
      <c r="H377" s="16"/>
    </row>
    <row r="378" spans="8:8" ht="13.2" x14ac:dyDescent="0.25">
      <c r="H378" s="16"/>
    </row>
    <row r="379" spans="8:8" ht="13.2" x14ac:dyDescent="0.25">
      <c r="H379" s="16"/>
    </row>
    <row r="380" spans="8:8" ht="13.2" x14ac:dyDescent="0.25">
      <c r="H380" s="16"/>
    </row>
    <row r="381" spans="8:8" ht="13.2" x14ac:dyDescent="0.25">
      <c r="H381" s="16"/>
    </row>
    <row r="382" spans="8:8" ht="13.2" x14ac:dyDescent="0.25">
      <c r="H382" s="16"/>
    </row>
    <row r="383" spans="8:8" ht="13.2" x14ac:dyDescent="0.25">
      <c r="H383" s="16"/>
    </row>
    <row r="384" spans="8:8" ht="13.2" x14ac:dyDescent="0.25">
      <c r="H384" s="16"/>
    </row>
    <row r="385" spans="8:8" ht="13.2" x14ac:dyDescent="0.25">
      <c r="H385" s="16"/>
    </row>
    <row r="386" spans="8:8" ht="13.2" x14ac:dyDescent="0.25">
      <c r="H386" s="16"/>
    </row>
    <row r="387" spans="8:8" ht="13.2" x14ac:dyDescent="0.25">
      <c r="H387" s="16"/>
    </row>
    <row r="388" spans="8:8" ht="13.2" x14ac:dyDescent="0.25">
      <c r="H388" s="16"/>
    </row>
    <row r="389" spans="8:8" ht="13.2" x14ac:dyDescent="0.25">
      <c r="H389" s="16"/>
    </row>
    <row r="390" spans="8:8" ht="13.2" x14ac:dyDescent="0.25">
      <c r="H390" s="16"/>
    </row>
    <row r="391" spans="8:8" ht="13.2" x14ac:dyDescent="0.25">
      <c r="H391" s="16"/>
    </row>
    <row r="392" spans="8:8" ht="13.2" x14ac:dyDescent="0.25">
      <c r="H392" s="16"/>
    </row>
    <row r="393" spans="8:8" ht="13.2" x14ac:dyDescent="0.25">
      <c r="H393" s="16"/>
    </row>
    <row r="394" spans="8:8" ht="13.2" x14ac:dyDescent="0.25">
      <c r="H394" s="16"/>
    </row>
    <row r="395" spans="8:8" ht="13.2" x14ac:dyDescent="0.25">
      <c r="H395" s="16"/>
    </row>
    <row r="396" spans="8:8" ht="13.2" x14ac:dyDescent="0.25">
      <c r="H396" s="16"/>
    </row>
    <row r="397" spans="8:8" ht="13.2" x14ac:dyDescent="0.25">
      <c r="H397" s="16"/>
    </row>
    <row r="398" spans="8:8" ht="13.2" x14ac:dyDescent="0.25">
      <c r="H398" s="16"/>
    </row>
    <row r="399" spans="8:8" ht="13.2" x14ac:dyDescent="0.25">
      <c r="H399" s="16"/>
    </row>
    <row r="400" spans="8:8" ht="13.2" x14ac:dyDescent="0.25">
      <c r="H400" s="16"/>
    </row>
    <row r="401" spans="8:8" ht="13.2" x14ac:dyDescent="0.25">
      <c r="H401" s="16"/>
    </row>
    <row r="402" spans="8:8" ht="13.2" x14ac:dyDescent="0.25">
      <c r="H402" s="16"/>
    </row>
    <row r="403" spans="8:8" ht="13.2" x14ac:dyDescent="0.25">
      <c r="H403" s="16"/>
    </row>
    <row r="404" spans="8:8" ht="13.2" x14ac:dyDescent="0.25">
      <c r="H404" s="16"/>
    </row>
    <row r="405" spans="8:8" ht="13.2" x14ac:dyDescent="0.25">
      <c r="H405" s="16"/>
    </row>
    <row r="406" spans="8:8" ht="13.2" x14ac:dyDescent="0.25">
      <c r="H406" s="16"/>
    </row>
    <row r="407" spans="8:8" ht="13.2" x14ac:dyDescent="0.25">
      <c r="H407" s="16"/>
    </row>
    <row r="408" spans="8:8" ht="13.2" x14ac:dyDescent="0.25">
      <c r="H408" s="16"/>
    </row>
    <row r="409" spans="8:8" ht="13.2" x14ac:dyDescent="0.25">
      <c r="H409" s="16"/>
    </row>
    <row r="410" spans="8:8" ht="13.2" x14ac:dyDescent="0.25">
      <c r="H410" s="16"/>
    </row>
    <row r="411" spans="8:8" ht="13.2" x14ac:dyDescent="0.25">
      <c r="H411" s="16"/>
    </row>
    <row r="412" spans="8:8" ht="13.2" x14ac:dyDescent="0.25">
      <c r="H412" s="16"/>
    </row>
    <row r="413" spans="8:8" ht="13.2" x14ac:dyDescent="0.25">
      <c r="H413" s="16"/>
    </row>
    <row r="414" spans="8:8" ht="13.2" x14ac:dyDescent="0.25">
      <c r="H414" s="16"/>
    </row>
    <row r="415" spans="8:8" ht="13.2" x14ac:dyDescent="0.25">
      <c r="H415" s="16"/>
    </row>
    <row r="416" spans="8:8" ht="13.2" x14ac:dyDescent="0.25">
      <c r="H416" s="16"/>
    </row>
    <row r="417" spans="8:8" ht="13.2" x14ac:dyDescent="0.25">
      <c r="H417" s="16"/>
    </row>
    <row r="418" spans="8:8" ht="13.2" x14ac:dyDescent="0.25">
      <c r="H418" s="16"/>
    </row>
    <row r="419" spans="8:8" ht="13.2" x14ac:dyDescent="0.25">
      <c r="H419" s="16"/>
    </row>
    <row r="420" spans="8:8" ht="13.2" x14ac:dyDescent="0.25">
      <c r="H420" s="16"/>
    </row>
    <row r="421" spans="8:8" ht="13.2" x14ac:dyDescent="0.25">
      <c r="H421" s="16"/>
    </row>
    <row r="422" spans="8:8" ht="13.2" x14ac:dyDescent="0.25">
      <c r="H422" s="16"/>
    </row>
    <row r="423" spans="8:8" ht="13.2" x14ac:dyDescent="0.25">
      <c r="H423" s="16"/>
    </row>
    <row r="424" spans="8:8" ht="13.2" x14ac:dyDescent="0.25">
      <c r="H424" s="16"/>
    </row>
    <row r="425" spans="8:8" ht="13.2" x14ac:dyDescent="0.25">
      <c r="H425" s="16"/>
    </row>
    <row r="426" spans="8:8" ht="13.2" x14ac:dyDescent="0.25">
      <c r="H426" s="16"/>
    </row>
    <row r="427" spans="8:8" ht="13.2" x14ac:dyDescent="0.25">
      <c r="H427" s="16"/>
    </row>
    <row r="428" spans="8:8" ht="13.2" x14ac:dyDescent="0.25">
      <c r="H428" s="16"/>
    </row>
    <row r="429" spans="8:8" ht="13.2" x14ac:dyDescent="0.25">
      <c r="H429" s="16"/>
    </row>
    <row r="430" spans="8:8" ht="13.2" x14ac:dyDescent="0.25">
      <c r="H430" s="16"/>
    </row>
    <row r="431" spans="8:8" ht="13.2" x14ac:dyDescent="0.25">
      <c r="H431" s="16"/>
    </row>
    <row r="432" spans="8:8" ht="13.2" x14ac:dyDescent="0.25">
      <c r="H432" s="16"/>
    </row>
    <row r="433" spans="8:8" ht="13.2" x14ac:dyDescent="0.25">
      <c r="H433" s="16"/>
    </row>
    <row r="434" spans="8:8" ht="13.2" x14ac:dyDescent="0.25">
      <c r="H434" s="16"/>
    </row>
    <row r="435" spans="8:8" ht="13.2" x14ac:dyDescent="0.25">
      <c r="H435" s="16"/>
    </row>
    <row r="436" spans="8:8" ht="13.2" x14ac:dyDescent="0.25">
      <c r="H436" s="16"/>
    </row>
    <row r="437" spans="8:8" ht="13.2" x14ac:dyDescent="0.25">
      <c r="H437" s="16"/>
    </row>
    <row r="438" spans="8:8" ht="13.2" x14ac:dyDescent="0.25">
      <c r="H438" s="16"/>
    </row>
    <row r="439" spans="8:8" ht="13.2" x14ac:dyDescent="0.25">
      <c r="H439" s="16"/>
    </row>
    <row r="440" spans="8:8" ht="13.2" x14ac:dyDescent="0.25">
      <c r="H440" s="16"/>
    </row>
    <row r="441" spans="8:8" ht="13.2" x14ac:dyDescent="0.25">
      <c r="H441" s="16"/>
    </row>
    <row r="442" spans="8:8" ht="13.2" x14ac:dyDescent="0.25">
      <c r="H442" s="16"/>
    </row>
    <row r="443" spans="8:8" ht="13.2" x14ac:dyDescent="0.25">
      <c r="H443" s="16"/>
    </row>
    <row r="444" spans="8:8" ht="13.2" x14ac:dyDescent="0.25">
      <c r="H444" s="16"/>
    </row>
    <row r="445" spans="8:8" ht="13.2" x14ac:dyDescent="0.25">
      <c r="H445" s="16"/>
    </row>
    <row r="446" spans="8:8" ht="13.2" x14ac:dyDescent="0.25">
      <c r="H446" s="16"/>
    </row>
    <row r="447" spans="8:8" ht="13.2" x14ac:dyDescent="0.25">
      <c r="H447" s="16"/>
    </row>
    <row r="448" spans="8:8" ht="13.2" x14ac:dyDescent="0.25">
      <c r="H448" s="16"/>
    </row>
    <row r="449" spans="8:8" ht="13.2" x14ac:dyDescent="0.25">
      <c r="H449" s="16"/>
    </row>
    <row r="450" spans="8:8" ht="13.2" x14ac:dyDescent="0.25">
      <c r="H450" s="16"/>
    </row>
    <row r="451" spans="8:8" ht="13.2" x14ac:dyDescent="0.25">
      <c r="H451" s="16"/>
    </row>
    <row r="452" spans="8:8" ht="13.2" x14ac:dyDescent="0.25">
      <c r="H452" s="16"/>
    </row>
    <row r="453" spans="8:8" ht="13.2" x14ac:dyDescent="0.25">
      <c r="H453" s="16"/>
    </row>
    <row r="454" spans="8:8" ht="13.2" x14ac:dyDescent="0.25">
      <c r="H454" s="16"/>
    </row>
    <row r="455" spans="8:8" ht="13.2" x14ac:dyDescent="0.25">
      <c r="H455" s="16"/>
    </row>
    <row r="456" spans="8:8" ht="13.2" x14ac:dyDescent="0.25">
      <c r="H456" s="16"/>
    </row>
    <row r="457" spans="8:8" ht="13.2" x14ac:dyDescent="0.25">
      <c r="H457" s="16"/>
    </row>
    <row r="458" spans="8:8" ht="13.2" x14ac:dyDescent="0.25">
      <c r="H458" s="16"/>
    </row>
    <row r="459" spans="8:8" ht="13.2" x14ac:dyDescent="0.25">
      <c r="H459" s="16"/>
    </row>
    <row r="460" spans="8:8" ht="13.2" x14ac:dyDescent="0.25">
      <c r="H460" s="16"/>
    </row>
    <row r="461" spans="8:8" ht="13.2" x14ac:dyDescent="0.25">
      <c r="H461" s="16"/>
    </row>
    <row r="462" spans="8:8" ht="13.2" x14ac:dyDescent="0.25">
      <c r="H462" s="16"/>
    </row>
    <row r="463" spans="8:8" ht="13.2" x14ac:dyDescent="0.25">
      <c r="H463" s="16"/>
    </row>
    <row r="464" spans="8:8" ht="13.2" x14ac:dyDescent="0.25">
      <c r="H464" s="16"/>
    </row>
    <row r="465" spans="8:8" ht="13.2" x14ac:dyDescent="0.25">
      <c r="H465" s="16"/>
    </row>
    <row r="466" spans="8:8" ht="13.2" x14ac:dyDescent="0.25">
      <c r="H466" s="16"/>
    </row>
    <row r="467" spans="8:8" ht="13.2" x14ac:dyDescent="0.25">
      <c r="H467" s="16"/>
    </row>
    <row r="468" spans="8:8" ht="13.2" x14ac:dyDescent="0.25">
      <c r="H468" s="16"/>
    </row>
    <row r="469" spans="8:8" ht="13.2" x14ac:dyDescent="0.25">
      <c r="H469" s="16"/>
    </row>
    <row r="470" spans="8:8" ht="13.2" x14ac:dyDescent="0.25">
      <c r="H470" s="16"/>
    </row>
    <row r="471" spans="8:8" ht="13.2" x14ac:dyDescent="0.25">
      <c r="H471" s="16"/>
    </row>
    <row r="472" spans="8:8" ht="13.2" x14ac:dyDescent="0.25">
      <c r="H472" s="16"/>
    </row>
    <row r="473" spans="8:8" ht="13.2" x14ac:dyDescent="0.25">
      <c r="H473" s="16"/>
    </row>
    <row r="474" spans="8:8" ht="13.2" x14ac:dyDescent="0.25">
      <c r="H474" s="16"/>
    </row>
    <row r="475" spans="8:8" ht="13.2" x14ac:dyDescent="0.25">
      <c r="H475" s="16"/>
    </row>
    <row r="476" spans="8:8" ht="13.2" x14ac:dyDescent="0.25">
      <c r="H476" s="16"/>
    </row>
    <row r="477" spans="8:8" ht="13.2" x14ac:dyDescent="0.25">
      <c r="H477" s="16"/>
    </row>
    <row r="478" spans="8:8" ht="13.2" x14ac:dyDescent="0.25">
      <c r="H478" s="16"/>
    </row>
    <row r="479" spans="8:8" ht="13.2" x14ac:dyDescent="0.25">
      <c r="H479" s="16"/>
    </row>
    <row r="480" spans="8:8" ht="13.2" x14ac:dyDescent="0.25">
      <c r="H480" s="16"/>
    </row>
    <row r="481" spans="8:8" ht="13.2" x14ac:dyDescent="0.25">
      <c r="H481" s="16"/>
    </row>
    <row r="482" spans="8:8" ht="13.2" x14ac:dyDescent="0.25">
      <c r="H482" s="16"/>
    </row>
    <row r="483" spans="8:8" ht="13.2" x14ac:dyDescent="0.25">
      <c r="H483" s="16"/>
    </row>
    <row r="484" spans="8:8" ht="13.2" x14ac:dyDescent="0.25">
      <c r="H484" s="16"/>
    </row>
    <row r="485" spans="8:8" ht="13.2" x14ac:dyDescent="0.25">
      <c r="H485" s="16"/>
    </row>
    <row r="486" spans="8:8" ht="13.2" x14ac:dyDescent="0.25">
      <c r="H486" s="16"/>
    </row>
    <row r="487" spans="8:8" ht="13.2" x14ac:dyDescent="0.25">
      <c r="H487" s="16"/>
    </row>
    <row r="488" spans="8:8" ht="13.2" x14ac:dyDescent="0.25">
      <c r="H488" s="16"/>
    </row>
    <row r="489" spans="8:8" ht="13.2" x14ac:dyDescent="0.25">
      <c r="H489" s="16"/>
    </row>
    <row r="490" spans="8:8" ht="13.2" x14ac:dyDescent="0.25">
      <c r="H490" s="16"/>
    </row>
    <row r="491" spans="8:8" ht="13.2" x14ac:dyDescent="0.25">
      <c r="H491" s="16"/>
    </row>
    <row r="492" spans="8:8" ht="13.2" x14ac:dyDescent="0.25">
      <c r="H492" s="16"/>
    </row>
    <row r="493" spans="8:8" ht="13.2" x14ac:dyDescent="0.25">
      <c r="H493" s="16"/>
    </row>
    <row r="494" spans="8:8" ht="13.2" x14ac:dyDescent="0.25">
      <c r="H494" s="16"/>
    </row>
    <row r="495" spans="8:8" ht="13.2" x14ac:dyDescent="0.25">
      <c r="H495" s="16"/>
    </row>
    <row r="496" spans="8:8" ht="13.2" x14ac:dyDescent="0.25">
      <c r="H496" s="16"/>
    </row>
    <row r="497" spans="8:8" ht="13.2" x14ac:dyDescent="0.25">
      <c r="H497" s="16"/>
    </row>
    <row r="498" spans="8:8" ht="13.2" x14ac:dyDescent="0.25">
      <c r="H498" s="16"/>
    </row>
    <row r="499" spans="8:8" ht="13.2" x14ac:dyDescent="0.25">
      <c r="H499" s="16"/>
    </row>
    <row r="500" spans="8:8" ht="13.2" x14ac:dyDescent="0.25">
      <c r="H500" s="16"/>
    </row>
    <row r="501" spans="8:8" ht="13.2" x14ac:dyDescent="0.25">
      <c r="H501" s="16"/>
    </row>
    <row r="502" spans="8:8" ht="13.2" x14ac:dyDescent="0.25">
      <c r="H502" s="16"/>
    </row>
    <row r="503" spans="8:8" ht="13.2" x14ac:dyDescent="0.25">
      <c r="H503" s="16"/>
    </row>
    <row r="504" spans="8:8" ht="13.2" x14ac:dyDescent="0.25">
      <c r="H504" s="16"/>
    </row>
    <row r="505" spans="8:8" ht="13.2" x14ac:dyDescent="0.25">
      <c r="H505" s="16"/>
    </row>
    <row r="506" spans="8:8" ht="13.2" x14ac:dyDescent="0.25">
      <c r="H506" s="16"/>
    </row>
    <row r="507" spans="8:8" ht="13.2" x14ac:dyDescent="0.25">
      <c r="H507" s="16"/>
    </row>
    <row r="508" spans="8:8" ht="13.2" x14ac:dyDescent="0.25">
      <c r="H508" s="16"/>
    </row>
    <row r="509" spans="8:8" ht="13.2" x14ac:dyDescent="0.25">
      <c r="H509" s="16"/>
    </row>
    <row r="510" spans="8:8" ht="13.2" x14ac:dyDescent="0.25">
      <c r="H510" s="16"/>
    </row>
    <row r="511" spans="8:8" ht="13.2" x14ac:dyDescent="0.25">
      <c r="H511" s="16"/>
    </row>
    <row r="512" spans="8:8" ht="13.2" x14ac:dyDescent="0.25">
      <c r="H512" s="16"/>
    </row>
    <row r="513" spans="8:8" ht="13.2" x14ac:dyDescent="0.25">
      <c r="H513" s="16"/>
    </row>
    <row r="514" spans="8:8" ht="13.2" x14ac:dyDescent="0.25">
      <c r="H514" s="16"/>
    </row>
    <row r="515" spans="8:8" ht="13.2" x14ac:dyDescent="0.25">
      <c r="H515" s="16"/>
    </row>
    <row r="516" spans="8:8" ht="13.2" x14ac:dyDescent="0.25">
      <c r="H516" s="16"/>
    </row>
    <row r="517" spans="8:8" ht="13.2" x14ac:dyDescent="0.25">
      <c r="H517" s="16"/>
    </row>
    <row r="518" spans="8:8" ht="13.2" x14ac:dyDescent="0.25">
      <c r="H518" s="16"/>
    </row>
    <row r="519" spans="8:8" ht="13.2" x14ac:dyDescent="0.25">
      <c r="H519" s="16"/>
    </row>
    <row r="520" spans="8:8" ht="13.2" x14ac:dyDescent="0.25">
      <c r="H520" s="16"/>
    </row>
    <row r="521" spans="8:8" ht="13.2" x14ac:dyDescent="0.25">
      <c r="H521" s="16"/>
    </row>
    <row r="522" spans="8:8" ht="13.2" x14ac:dyDescent="0.25">
      <c r="H522" s="16"/>
    </row>
    <row r="523" spans="8:8" ht="13.2" x14ac:dyDescent="0.25">
      <c r="H523" s="16"/>
    </row>
    <row r="524" spans="8:8" ht="13.2" x14ac:dyDescent="0.25">
      <c r="H524" s="16"/>
    </row>
    <row r="525" spans="8:8" ht="13.2" x14ac:dyDescent="0.25">
      <c r="H525" s="16"/>
    </row>
    <row r="526" spans="8:8" ht="13.2" x14ac:dyDescent="0.25">
      <c r="H526" s="16"/>
    </row>
    <row r="527" spans="8:8" ht="13.2" x14ac:dyDescent="0.25">
      <c r="H527" s="16"/>
    </row>
    <row r="528" spans="8:8" ht="13.2" x14ac:dyDescent="0.25">
      <c r="H528" s="16"/>
    </row>
    <row r="529" spans="8:8" ht="13.2" x14ac:dyDescent="0.25">
      <c r="H529" s="16"/>
    </row>
    <row r="530" spans="8:8" ht="13.2" x14ac:dyDescent="0.25">
      <c r="H530" s="16"/>
    </row>
    <row r="531" spans="8:8" ht="13.2" x14ac:dyDescent="0.25">
      <c r="H531" s="16"/>
    </row>
    <row r="532" spans="8:8" ht="13.2" x14ac:dyDescent="0.25">
      <c r="H532" s="16"/>
    </row>
    <row r="533" spans="8:8" ht="13.2" x14ac:dyDescent="0.25">
      <c r="H533" s="16"/>
    </row>
    <row r="534" spans="8:8" ht="13.2" x14ac:dyDescent="0.25">
      <c r="H534" s="16"/>
    </row>
    <row r="535" spans="8:8" ht="13.2" x14ac:dyDescent="0.25">
      <c r="H535" s="16"/>
    </row>
    <row r="536" spans="8:8" ht="13.2" x14ac:dyDescent="0.25">
      <c r="H536" s="16"/>
    </row>
    <row r="537" spans="8:8" ht="13.2" x14ac:dyDescent="0.25">
      <c r="H537" s="16"/>
    </row>
    <row r="538" spans="8:8" ht="13.2" x14ac:dyDescent="0.25">
      <c r="H538" s="16"/>
    </row>
    <row r="539" spans="8:8" ht="13.2" x14ac:dyDescent="0.25">
      <c r="H539" s="16"/>
    </row>
    <row r="540" spans="8:8" ht="13.2" x14ac:dyDescent="0.25">
      <c r="H540" s="16"/>
    </row>
    <row r="541" spans="8:8" ht="13.2" x14ac:dyDescent="0.25">
      <c r="H541" s="16"/>
    </row>
    <row r="542" spans="8:8" ht="13.2" x14ac:dyDescent="0.25">
      <c r="H542" s="16"/>
    </row>
    <row r="543" spans="8:8" ht="13.2" x14ac:dyDescent="0.25">
      <c r="H543" s="16"/>
    </row>
    <row r="544" spans="8:8" ht="13.2" x14ac:dyDescent="0.25">
      <c r="H544" s="16"/>
    </row>
    <row r="545" spans="8:8" ht="13.2" x14ac:dyDescent="0.25">
      <c r="H545" s="16"/>
    </row>
    <row r="546" spans="8:8" ht="13.2" x14ac:dyDescent="0.25">
      <c r="H546" s="16"/>
    </row>
    <row r="547" spans="8:8" ht="13.2" x14ac:dyDescent="0.25">
      <c r="H547" s="16"/>
    </row>
    <row r="548" spans="8:8" ht="13.2" x14ac:dyDescent="0.25">
      <c r="H548" s="16"/>
    </row>
    <row r="549" spans="8:8" ht="13.2" x14ac:dyDescent="0.25">
      <c r="H549" s="16"/>
    </row>
    <row r="550" spans="8:8" ht="13.2" x14ac:dyDescent="0.25">
      <c r="H550" s="16"/>
    </row>
    <row r="551" spans="8:8" ht="13.2" x14ac:dyDescent="0.25">
      <c r="H551" s="16"/>
    </row>
    <row r="552" spans="8:8" ht="13.2" x14ac:dyDescent="0.25">
      <c r="H552" s="16"/>
    </row>
    <row r="553" spans="8:8" ht="13.2" x14ac:dyDescent="0.25">
      <c r="H553" s="16"/>
    </row>
    <row r="554" spans="8:8" ht="13.2" x14ac:dyDescent="0.25">
      <c r="H554" s="16"/>
    </row>
    <row r="555" spans="8:8" ht="13.2" x14ac:dyDescent="0.25">
      <c r="H555" s="16"/>
    </row>
    <row r="556" spans="8:8" ht="13.2" x14ac:dyDescent="0.25">
      <c r="H556" s="16"/>
    </row>
    <row r="557" spans="8:8" ht="13.2" x14ac:dyDescent="0.25">
      <c r="H557" s="16"/>
    </row>
    <row r="558" spans="8:8" ht="13.2" x14ac:dyDescent="0.25">
      <c r="H558" s="16"/>
    </row>
    <row r="559" spans="8:8" ht="13.2" x14ac:dyDescent="0.25">
      <c r="H559" s="16"/>
    </row>
    <row r="560" spans="8:8" ht="13.2" x14ac:dyDescent="0.25">
      <c r="H560" s="16"/>
    </row>
    <row r="561" spans="8:8" ht="13.2" x14ac:dyDescent="0.25">
      <c r="H561" s="16"/>
    </row>
    <row r="562" spans="8:8" ht="13.2" x14ac:dyDescent="0.25">
      <c r="H562" s="16"/>
    </row>
    <row r="563" spans="8:8" ht="13.2" x14ac:dyDescent="0.25">
      <c r="H563" s="16"/>
    </row>
    <row r="564" spans="8:8" ht="13.2" x14ac:dyDescent="0.25">
      <c r="H564" s="16"/>
    </row>
    <row r="565" spans="8:8" ht="13.2" x14ac:dyDescent="0.25">
      <c r="H565" s="16"/>
    </row>
    <row r="566" spans="8:8" ht="13.2" x14ac:dyDescent="0.25">
      <c r="H566" s="16"/>
    </row>
    <row r="567" spans="8:8" ht="13.2" x14ac:dyDescent="0.25">
      <c r="H567" s="16"/>
    </row>
    <row r="568" spans="8:8" ht="13.2" x14ac:dyDescent="0.25">
      <c r="H568" s="16"/>
    </row>
    <row r="569" spans="8:8" ht="13.2" x14ac:dyDescent="0.25">
      <c r="H569" s="16"/>
    </row>
    <row r="570" spans="8:8" ht="13.2" x14ac:dyDescent="0.25">
      <c r="H570" s="16"/>
    </row>
    <row r="571" spans="8:8" ht="13.2" x14ac:dyDescent="0.25">
      <c r="H571" s="16"/>
    </row>
    <row r="572" spans="8:8" ht="13.2" x14ac:dyDescent="0.25">
      <c r="H572" s="16"/>
    </row>
    <row r="573" spans="8:8" ht="13.2" x14ac:dyDescent="0.25">
      <c r="H573" s="16"/>
    </row>
    <row r="574" spans="8:8" ht="13.2" x14ac:dyDescent="0.25">
      <c r="H574" s="16"/>
    </row>
    <row r="575" spans="8:8" ht="13.2" x14ac:dyDescent="0.25">
      <c r="H575" s="16"/>
    </row>
    <row r="576" spans="8:8" ht="13.2" x14ac:dyDescent="0.25">
      <c r="H576" s="16"/>
    </row>
    <row r="577" spans="8:8" ht="13.2" x14ac:dyDescent="0.25">
      <c r="H577" s="16"/>
    </row>
    <row r="578" spans="8:8" ht="13.2" x14ac:dyDescent="0.25">
      <c r="H578" s="16"/>
    </row>
    <row r="579" spans="8:8" ht="13.2" x14ac:dyDescent="0.25">
      <c r="H579" s="16"/>
    </row>
    <row r="580" spans="8:8" ht="13.2" x14ac:dyDescent="0.25">
      <c r="H580" s="16"/>
    </row>
    <row r="581" spans="8:8" ht="13.2" x14ac:dyDescent="0.25">
      <c r="H581" s="16"/>
    </row>
    <row r="582" spans="8:8" ht="13.2" x14ac:dyDescent="0.25">
      <c r="H582" s="16"/>
    </row>
    <row r="583" spans="8:8" ht="13.2" x14ac:dyDescent="0.25">
      <c r="H583" s="16"/>
    </row>
    <row r="584" spans="8:8" ht="13.2" x14ac:dyDescent="0.25">
      <c r="H584" s="16"/>
    </row>
    <row r="585" spans="8:8" ht="13.2" x14ac:dyDescent="0.25">
      <c r="H585" s="16"/>
    </row>
    <row r="586" spans="8:8" ht="13.2" x14ac:dyDescent="0.25">
      <c r="H586" s="16"/>
    </row>
    <row r="587" spans="8:8" ht="13.2" x14ac:dyDescent="0.25">
      <c r="H587" s="16"/>
    </row>
    <row r="588" spans="8:8" ht="13.2" x14ac:dyDescent="0.25">
      <c r="H588" s="16"/>
    </row>
    <row r="589" spans="8:8" ht="13.2" x14ac:dyDescent="0.25">
      <c r="H589" s="16"/>
    </row>
    <row r="590" spans="8:8" ht="13.2" x14ac:dyDescent="0.25">
      <c r="H590" s="16"/>
    </row>
    <row r="591" spans="8:8" ht="13.2" x14ac:dyDescent="0.25">
      <c r="H591" s="16"/>
    </row>
    <row r="592" spans="8:8" ht="13.2" x14ac:dyDescent="0.25">
      <c r="H592" s="16"/>
    </row>
    <row r="593" spans="8:8" ht="13.2" x14ac:dyDescent="0.25">
      <c r="H593" s="16"/>
    </row>
    <row r="594" spans="8:8" ht="13.2" x14ac:dyDescent="0.25">
      <c r="H594" s="16"/>
    </row>
    <row r="595" spans="8:8" ht="13.2" x14ac:dyDescent="0.25">
      <c r="H595" s="16"/>
    </row>
    <row r="596" spans="8:8" ht="13.2" x14ac:dyDescent="0.25">
      <c r="H596" s="16"/>
    </row>
    <row r="597" spans="8:8" ht="13.2" x14ac:dyDescent="0.25">
      <c r="H597" s="16"/>
    </row>
    <row r="598" spans="8:8" ht="13.2" x14ac:dyDescent="0.25">
      <c r="H598" s="16"/>
    </row>
    <row r="599" spans="8:8" ht="13.2" x14ac:dyDescent="0.25">
      <c r="H599" s="16"/>
    </row>
    <row r="600" spans="8:8" ht="13.2" x14ac:dyDescent="0.25">
      <c r="H600" s="16"/>
    </row>
    <row r="601" spans="8:8" ht="13.2" x14ac:dyDescent="0.25">
      <c r="H601" s="16"/>
    </row>
    <row r="602" spans="8:8" ht="13.2" x14ac:dyDescent="0.25">
      <c r="H602" s="16"/>
    </row>
    <row r="603" spans="8:8" ht="13.2" x14ac:dyDescent="0.25">
      <c r="H603" s="16"/>
    </row>
    <row r="604" spans="8:8" ht="13.2" x14ac:dyDescent="0.25">
      <c r="H604" s="16"/>
    </row>
    <row r="605" spans="8:8" ht="13.2" x14ac:dyDescent="0.25">
      <c r="H605" s="16"/>
    </row>
    <row r="606" spans="8:8" ht="13.2" x14ac:dyDescent="0.25">
      <c r="H606" s="16"/>
    </row>
    <row r="607" spans="8:8" ht="13.2" x14ac:dyDescent="0.25">
      <c r="H607" s="16"/>
    </row>
    <row r="608" spans="8:8" ht="13.2" x14ac:dyDescent="0.25">
      <c r="H608" s="16"/>
    </row>
    <row r="609" spans="8:8" ht="13.2" x14ac:dyDescent="0.25">
      <c r="H609" s="16"/>
    </row>
    <row r="610" spans="8:8" ht="13.2" x14ac:dyDescent="0.25">
      <c r="H610" s="16"/>
    </row>
    <row r="611" spans="8:8" ht="13.2" x14ac:dyDescent="0.25">
      <c r="H611" s="16"/>
    </row>
    <row r="612" spans="8:8" ht="13.2" x14ac:dyDescent="0.25">
      <c r="H612" s="16"/>
    </row>
    <row r="613" spans="8:8" ht="13.2" x14ac:dyDescent="0.25">
      <c r="H613" s="16"/>
    </row>
    <row r="614" spans="8:8" ht="13.2" x14ac:dyDescent="0.25">
      <c r="H614" s="16"/>
    </row>
    <row r="615" spans="8:8" ht="13.2" x14ac:dyDescent="0.25">
      <c r="H615" s="16"/>
    </row>
    <row r="616" spans="8:8" ht="13.2" x14ac:dyDescent="0.25">
      <c r="H616" s="16"/>
    </row>
    <row r="617" spans="8:8" ht="13.2" x14ac:dyDescent="0.25">
      <c r="H617" s="16"/>
    </row>
    <row r="618" spans="8:8" ht="13.2" x14ac:dyDescent="0.25">
      <c r="H618" s="16"/>
    </row>
    <row r="619" spans="8:8" ht="13.2" x14ac:dyDescent="0.25">
      <c r="H619" s="16"/>
    </row>
    <row r="620" spans="8:8" ht="13.2" x14ac:dyDescent="0.25">
      <c r="H620" s="16"/>
    </row>
    <row r="621" spans="8:8" ht="13.2" x14ac:dyDescent="0.25">
      <c r="H621" s="16"/>
    </row>
    <row r="622" spans="8:8" ht="13.2" x14ac:dyDescent="0.25">
      <c r="H622" s="16"/>
    </row>
    <row r="623" spans="8:8" ht="13.2" x14ac:dyDescent="0.25">
      <c r="H623" s="16"/>
    </row>
    <row r="624" spans="8:8" ht="13.2" x14ac:dyDescent="0.25">
      <c r="H624" s="16"/>
    </row>
    <row r="625" spans="8:8" ht="13.2" x14ac:dyDescent="0.25">
      <c r="H625" s="16"/>
    </row>
    <row r="626" spans="8:8" ht="13.2" x14ac:dyDescent="0.25">
      <c r="H626" s="16"/>
    </row>
    <row r="627" spans="8:8" ht="13.2" x14ac:dyDescent="0.25">
      <c r="H627" s="16"/>
    </row>
    <row r="628" spans="8:8" ht="13.2" x14ac:dyDescent="0.25">
      <c r="H628" s="16"/>
    </row>
    <row r="629" spans="8:8" ht="13.2" x14ac:dyDescent="0.25">
      <c r="H629" s="16"/>
    </row>
    <row r="630" spans="8:8" ht="13.2" x14ac:dyDescent="0.25">
      <c r="H630" s="16"/>
    </row>
    <row r="631" spans="8:8" ht="13.2" x14ac:dyDescent="0.25">
      <c r="H631" s="16"/>
    </row>
    <row r="632" spans="8:8" ht="13.2" x14ac:dyDescent="0.25">
      <c r="H632" s="16"/>
    </row>
    <row r="633" spans="8:8" ht="13.2" x14ac:dyDescent="0.25">
      <c r="H633" s="16"/>
    </row>
    <row r="634" spans="8:8" ht="13.2" x14ac:dyDescent="0.25">
      <c r="H634" s="16"/>
    </row>
    <row r="635" spans="8:8" ht="13.2" x14ac:dyDescent="0.25">
      <c r="H635" s="16"/>
    </row>
    <row r="636" spans="8:8" ht="13.2" x14ac:dyDescent="0.25">
      <c r="H636" s="16"/>
    </row>
    <row r="637" spans="8:8" ht="13.2" x14ac:dyDescent="0.25">
      <c r="H637" s="16"/>
    </row>
    <row r="638" spans="8:8" ht="13.2" x14ac:dyDescent="0.25">
      <c r="H638" s="16"/>
    </row>
    <row r="639" spans="8:8" ht="13.2" x14ac:dyDescent="0.25">
      <c r="H639" s="16"/>
    </row>
    <row r="640" spans="8:8" ht="13.2" x14ac:dyDescent="0.25">
      <c r="H640" s="16"/>
    </row>
    <row r="641" spans="8:8" ht="13.2" x14ac:dyDescent="0.25">
      <c r="H641" s="16"/>
    </row>
    <row r="642" spans="8:8" ht="13.2" x14ac:dyDescent="0.25">
      <c r="H642" s="16"/>
    </row>
    <row r="643" spans="8:8" ht="13.2" x14ac:dyDescent="0.25">
      <c r="H643" s="16"/>
    </row>
    <row r="644" spans="8:8" ht="13.2" x14ac:dyDescent="0.25">
      <c r="H644" s="16"/>
    </row>
    <row r="645" spans="8:8" ht="13.2" x14ac:dyDescent="0.25">
      <c r="H645" s="16"/>
    </row>
    <row r="646" spans="8:8" ht="13.2" x14ac:dyDescent="0.25">
      <c r="H646" s="16"/>
    </row>
    <row r="647" spans="8:8" ht="13.2" x14ac:dyDescent="0.25">
      <c r="H647" s="16"/>
    </row>
    <row r="648" spans="8:8" ht="13.2" x14ac:dyDescent="0.25">
      <c r="H648" s="16"/>
    </row>
    <row r="649" spans="8:8" ht="13.2" x14ac:dyDescent="0.25">
      <c r="H649" s="16"/>
    </row>
    <row r="650" spans="8:8" ht="13.2" x14ac:dyDescent="0.25">
      <c r="H650" s="16"/>
    </row>
    <row r="651" spans="8:8" ht="13.2" x14ac:dyDescent="0.25">
      <c r="H651" s="16"/>
    </row>
    <row r="652" spans="8:8" ht="13.2" x14ac:dyDescent="0.25">
      <c r="H652" s="16"/>
    </row>
    <row r="653" spans="8:8" ht="13.2" x14ac:dyDescent="0.25">
      <c r="H653" s="16"/>
    </row>
    <row r="654" spans="8:8" ht="13.2" x14ac:dyDescent="0.25">
      <c r="H654" s="16"/>
    </row>
    <row r="655" spans="8:8" ht="13.2" x14ac:dyDescent="0.25">
      <c r="H655" s="16"/>
    </row>
    <row r="656" spans="8:8" ht="13.2" x14ac:dyDescent="0.25">
      <c r="H656" s="16"/>
    </row>
    <row r="657" spans="8:8" ht="13.2" x14ac:dyDescent="0.25">
      <c r="H657" s="16"/>
    </row>
    <row r="658" spans="8:8" ht="13.2" x14ac:dyDescent="0.25">
      <c r="H658" s="16"/>
    </row>
    <row r="659" spans="8:8" ht="13.2" x14ac:dyDescent="0.25">
      <c r="H659" s="16"/>
    </row>
    <row r="660" spans="8:8" ht="13.2" x14ac:dyDescent="0.25">
      <c r="H660" s="16"/>
    </row>
    <row r="661" spans="8:8" ht="13.2" x14ac:dyDescent="0.25">
      <c r="H661" s="16"/>
    </row>
    <row r="662" spans="8:8" ht="13.2" x14ac:dyDescent="0.25">
      <c r="H662" s="16"/>
    </row>
    <row r="663" spans="8:8" ht="13.2" x14ac:dyDescent="0.25">
      <c r="H663" s="16"/>
    </row>
    <row r="664" spans="8:8" ht="13.2" x14ac:dyDescent="0.25">
      <c r="H664" s="16"/>
    </row>
    <row r="665" spans="8:8" ht="13.2" x14ac:dyDescent="0.25">
      <c r="H665" s="16"/>
    </row>
    <row r="666" spans="8:8" ht="13.2" x14ac:dyDescent="0.25">
      <c r="H666" s="16"/>
    </row>
    <row r="667" spans="8:8" ht="13.2" x14ac:dyDescent="0.25">
      <c r="H667" s="16"/>
    </row>
    <row r="668" spans="8:8" ht="13.2" x14ac:dyDescent="0.25">
      <c r="H668" s="16"/>
    </row>
    <row r="669" spans="8:8" ht="13.2" x14ac:dyDescent="0.25">
      <c r="H669" s="16"/>
    </row>
    <row r="670" spans="8:8" ht="13.2" x14ac:dyDescent="0.25">
      <c r="H670" s="16"/>
    </row>
    <row r="671" spans="8:8" ht="13.2" x14ac:dyDescent="0.25">
      <c r="H671" s="16"/>
    </row>
    <row r="672" spans="8:8" ht="13.2" x14ac:dyDescent="0.25">
      <c r="H672" s="16"/>
    </row>
    <row r="673" spans="8:8" ht="13.2" x14ac:dyDescent="0.25">
      <c r="H673" s="16"/>
    </row>
    <row r="674" spans="8:8" ht="13.2" x14ac:dyDescent="0.25">
      <c r="H674" s="16"/>
    </row>
    <row r="675" spans="8:8" ht="13.2" x14ac:dyDescent="0.25">
      <c r="H675" s="16"/>
    </row>
    <row r="676" spans="8:8" ht="13.2" x14ac:dyDescent="0.25">
      <c r="H676" s="16"/>
    </row>
    <row r="677" spans="8:8" ht="13.2" x14ac:dyDescent="0.25">
      <c r="H677" s="16"/>
    </row>
    <row r="678" spans="8:8" ht="13.2" x14ac:dyDescent="0.25">
      <c r="H678" s="16"/>
    </row>
    <row r="679" spans="8:8" ht="13.2" x14ac:dyDescent="0.25">
      <c r="H679" s="16"/>
    </row>
    <row r="680" spans="8:8" ht="13.2" x14ac:dyDescent="0.25">
      <c r="H680" s="16"/>
    </row>
    <row r="681" spans="8:8" ht="13.2" x14ac:dyDescent="0.25">
      <c r="H681" s="16"/>
    </row>
    <row r="682" spans="8:8" ht="13.2" x14ac:dyDescent="0.25">
      <c r="H682" s="16"/>
    </row>
    <row r="683" spans="8:8" ht="13.2" x14ac:dyDescent="0.25">
      <c r="H683" s="16"/>
    </row>
    <row r="684" spans="8:8" ht="13.2" x14ac:dyDescent="0.25">
      <c r="H684" s="16"/>
    </row>
    <row r="685" spans="8:8" ht="13.2" x14ac:dyDescent="0.25">
      <c r="H685" s="16"/>
    </row>
    <row r="686" spans="8:8" ht="13.2" x14ac:dyDescent="0.25">
      <c r="H686" s="16"/>
    </row>
    <row r="687" spans="8:8" ht="13.2" x14ac:dyDescent="0.25">
      <c r="H687" s="16"/>
    </row>
    <row r="688" spans="8:8" ht="13.2" x14ac:dyDescent="0.25">
      <c r="H688" s="16"/>
    </row>
    <row r="689" spans="8:8" ht="13.2" x14ac:dyDescent="0.25">
      <c r="H689" s="16"/>
    </row>
    <row r="690" spans="8:8" ht="13.2" x14ac:dyDescent="0.25">
      <c r="H690" s="16"/>
    </row>
    <row r="691" spans="8:8" ht="13.2" x14ac:dyDescent="0.25">
      <c r="H691" s="16"/>
    </row>
    <row r="692" spans="8:8" ht="13.2" x14ac:dyDescent="0.25">
      <c r="H692" s="16"/>
    </row>
    <row r="693" spans="8:8" ht="13.2" x14ac:dyDescent="0.25">
      <c r="H693" s="16"/>
    </row>
    <row r="694" spans="8:8" ht="13.2" x14ac:dyDescent="0.25">
      <c r="H694" s="16"/>
    </row>
    <row r="695" spans="8:8" ht="13.2" x14ac:dyDescent="0.25">
      <c r="H695" s="16"/>
    </row>
    <row r="696" spans="8:8" ht="13.2" x14ac:dyDescent="0.25">
      <c r="H696" s="16"/>
    </row>
    <row r="697" spans="8:8" ht="13.2" x14ac:dyDescent="0.25">
      <c r="H697" s="16"/>
    </row>
    <row r="698" spans="8:8" ht="13.2" x14ac:dyDescent="0.25">
      <c r="H698" s="16"/>
    </row>
    <row r="699" spans="8:8" ht="13.2" x14ac:dyDescent="0.25">
      <c r="H699" s="16"/>
    </row>
    <row r="700" spans="8:8" ht="13.2" x14ac:dyDescent="0.25">
      <c r="H700" s="16"/>
    </row>
    <row r="701" spans="8:8" ht="13.2" x14ac:dyDescent="0.25">
      <c r="H701" s="16"/>
    </row>
    <row r="702" spans="8:8" ht="13.2" x14ac:dyDescent="0.25">
      <c r="H702" s="16"/>
    </row>
    <row r="703" spans="8:8" ht="13.2" x14ac:dyDescent="0.25">
      <c r="H703" s="16"/>
    </row>
    <row r="704" spans="8:8" ht="13.2" x14ac:dyDescent="0.25">
      <c r="H704" s="16"/>
    </row>
    <row r="705" spans="8:8" ht="13.2" x14ac:dyDescent="0.25">
      <c r="H705" s="16"/>
    </row>
    <row r="706" spans="8:8" ht="13.2" x14ac:dyDescent="0.25">
      <c r="H706" s="16"/>
    </row>
    <row r="707" spans="8:8" ht="13.2" x14ac:dyDescent="0.25">
      <c r="H707" s="16"/>
    </row>
    <row r="708" spans="8:8" ht="13.2" x14ac:dyDescent="0.25">
      <c r="H708" s="16"/>
    </row>
    <row r="709" spans="8:8" ht="13.2" x14ac:dyDescent="0.25">
      <c r="H709" s="16"/>
    </row>
    <row r="710" spans="8:8" ht="13.2" x14ac:dyDescent="0.25">
      <c r="H710" s="16"/>
    </row>
    <row r="711" spans="8:8" ht="13.2" x14ac:dyDescent="0.25">
      <c r="H711" s="16"/>
    </row>
    <row r="712" spans="8:8" ht="13.2" x14ac:dyDescent="0.25">
      <c r="H712" s="16"/>
    </row>
    <row r="713" spans="8:8" ht="13.2" x14ac:dyDescent="0.25">
      <c r="H713" s="16"/>
    </row>
    <row r="714" spans="8:8" ht="13.2" x14ac:dyDescent="0.25">
      <c r="H714" s="16"/>
    </row>
    <row r="715" spans="8:8" ht="13.2" x14ac:dyDescent="0.25">
      <c r="H715" s="16"/>
    </row>
    <row r="716" spans="8:8" ht="13.2" x14ac:dyDescent="0.25">
      <c r="H716" s="16"/>
    </row>
    <row r="717" spans="8:8" ht="13.2" x14ac:dyDescent="0.25">
      <c r="H717" s="16"/>
    </row>
    <row r="718" spans="8:8" ht="13.2" x14ac:dyDescent="0.25">
      <c r="H718" s="16"/>
    </row>
    <row r="719" spans="8:8" ht="13.2" x14ac:dyDescent="0.25">
      <c r="H719" s="16"/>
    </row>
    <row r="720" spans="8:8" ht="13.2" x14ac:dyDescent="0.25">
      <c r="H720" s="16"/>
    </row>
    <row r="721" spans="8:8" ht="13.2" x14ac:dyDescent="0.25">
      <c r="H721" s="16"/>
    </row>
    <row r="722" spans="8:8" ht="13.2" x14ac:dyDescent="0.25">
      <c r="H722" s="16"/>
    </row>
    <row r="723" spans="8:8" ht="13.2" x14ac:dyDescent="0.25">
      <c r="H723" s="16"/>
    </row>
    <row r="724" spans="8:8" ht="13.2" x14ac:dyDescent="0.25">
      <c r="H724" s="16"/>
    </row>
    <row r="725" spans="8:8" ht="13.2" x14ac:dyDescent="0.25">
      <c r="H725" s="16"/>
    </row>
    <row r="726" spans="8:8" ht="13.2" x14ac:dyDescent="0.25">
      <c r="H726" s="16"/>
    </row>
    <row r="727" spans="8:8" ht="13.2" x14ac:dyDescent="0.25">
      <c r="H727" s="16"/>
    </row>
    <row r="728" spans="8:8" ht="13.2" x14ac:dyDescent="0.25">
      <c r="H728" s="16"/>
    </row>
    <row r="729" spans="8:8" ht="13.2" x14ac:dyDescent="0.25">
      <c r="H729" s="16"/>
    </row>
    <row r="730" spans="8:8" ht="13.2" x14ac:dyDescent="0.25">
      <c r="H730" s="16"/>
    </row>
    <row r="731" spans="8:8" ht="13.2" x14ac:dyDescent="0.25">
      <c r="H731" s="16"/>
    </row>
    <row r="732" spans="8:8" ht="13.2" x14ac:dyDescent="0.25">
      <c r="H732" s="16"/>
    </row>
    <row r="733" spans="8:8" ht="13.2" x14ac:dyDescent="0.25">
      <c r="H733" s="16"/>
    </row>
    <row r="734" spans="8:8" ht="13.2" x14ac:dyDescent="0.25">
      <c r="H734" s="16"/>
    </row>
    <row r="735" spans="8:8" ht="13.2" x14ac:dyDescent="0.25">
      <c r="H735" s="16"/>
    </row>
    <row r="736" spans="8:8" ht="13.2" x14ac:dyDescent="0.25">
      <c r="H736" s="16"/>
    </row>
    <row r="737" spans="8:8" ht="13.2" x14ac:dyDescent="0.25">
      <c r="H737" s="16"/>
    </row>
    <row r="738" spans="8:8" ht="13.2" x14ac:dyDescent="0.25">
      <c r="H738" s="16"/>
    </row>
    <row r="739" spans="8:8" ht="13.2" x14ac:dyDescent="0.25">
      <c r="H739" s="16"/>
    </row>
    <row r="740" spans="8:8" ht="13.2" x14ac:dyDescent="0.25">
      <c r="H740" s="16"/>
    </row>
    <row r="741" spans="8:8" ht="13.2" x14ac:dyDescent="0.25">
      <c r="H741" s="16"/>
    </row>
    <row r="742" spans="8:8" ht="13.2" x14ac:dyDescent="0.25">
      <c r="H742" s="16"/>
    </row>
    <row r="743" spans="8:8" ht="13.2" x14ac:dyDescent="0.25">
      <c r="H743" s="16"/>
    </row>
    <row r="744" spans="8:8" ht="13.2" x14ac:dyDescent="0.25">
      <c r="H744" s="16"/>
    </row>
    <row r="745" spans="8:8" ht="13.2" x14ac:dyDescent="0.25">
      <c r="H745" s="16"/>
    </row>
    <row r="746" spans="8:8" ht="13.2" x14ac:dyDescent="0.25">
      <c r="H746" s="16"/>
    </row>
    <row r="747" spans="8:8" ht="13.2" x14ac:dyDescent="0.25">
      <c r="H747" s="16"/>
    </row>
    <row r="748" spans="8:8" ht="13.2" x14ac:dyDescent="0.25">
      <c r="H748" s="16"/>
    </row>
    <row r="749" spans="8:8" ht="13.2" x14ac:dyDescent="0.25">
      <c r="H749" s="16"/>
    </row>
    <row r="750" spans="8:8" ht="13.2" x14ac:dyDescent="0.25">
      <c r="H750" s="16"/>
    </row>
    <row r="751" spans="8:8" ht="13.2" x14ac:dyDescent="0.25">
      <c r="H751" s="16"/>
    </row>
    <row r="752" spans="8:8" ht="13.2" x14ac:dyDescent="0.25">
      <c r="H752" s="16"/>
    </row>
    <row r="753" spans="8:8" ht="13.2" x14ac:dyDescent="0.25">
      <c r="H753" s="16"/>
    </row>
    <row r="754" spans="8:8" ht="13.2" x14ac:dyDescent="0.25">
      <c r="H754" s="16"/>
    </row>
    <row r="755" spans="8:8" ht="13.2" x14ac:dyDescent="0.25">
      <c r="H755" s="16"/>
    </row>
    <row r="756" spans="8:8" ht="13.2" x14ac:dyDescent="0.25">
      <c r="H756" s="16"/>
    </row>
    <row r="757" spans="8:8" ht="13.2" x14ac:dyDescent="0.25">
      <c r="H757" s="16"/>
    </row>
    <row r="758" spans="8:8" ht="13.2" x14ac:dyDescent="0.25">
      <c r="H758" s="16"/>
    </row>
    <row r="759" spans="8:8" ht="13.2" x14ac:dyDescent="0.25">
      <c r="H759" s="16"/>
    </row>
    <row r="760" spans="8:8" ht="13.2" x14ac:dyDescent="0.25">
      <c r="H760" s="16"/>
    </row>
    <row r="761" spans="8:8" ht="13.2" x14ac:dyDescent="0.25">
      <c r="H761" s="16"/>
    </row>
    <row r="762" spans="8:8" ht="13.2" x14ac:dyDescent="0.25">
      <c r="H762" s="16"/>
    </row>
    <row r="763" spans="8:8" ht="13.2" x14ac:dyDescent="0.25">
      <c r="H763" s="16"/>
    </row>
    <row r="764" spans="8:8" ht="13.2" x14ac:dyDescent="0.25">
      <c r="H764" s="16"/>
    </row>
    <row r="765" spans="8:8" ht="13.2" x14ac:dyDescent="0.25">
      <c r="H765" s="16"/>
    </row>
    <row r="766" spans="8:8" ht="13.2" x14ac:dyDescent="0.25">
      <c r="H766" s="16"/>
    </row>
    <row r="767" spans="8:8" ht="13.2" x14ac:dyDescent="0.25">
      <c r="H767" s="16"/>
    </row>
    <row r="768" spans="8:8" ht="13.2" x14ac:dyDescent="0.25">
      <c r="H768" s="16"/>
    </row>
    <row r="769" spans="8:8" ht="13.2" x14ac:dyDescent="0.25">
      <c r="H769" s="16"/>
    </row>
    <row r="770" spans="8:8" ht="13.2" x14ac:dyDescent="0.25">
      <c r="H770" s="16"/>
    </row>
    <row r="771" spans="8:8" ht="13.2" x14ac:dyDescent="0.25">
      <c r="H771" s="16"/>
    </row>
    <row r="772" spans="8:8" ht="13.2" x14ac:dyDescent="0.25">
      <c r="H772" s="16"/>
    </row>
    <row r="773" spans="8:8" ht="13.2" x14ac:dyDescent="0.25">
      <c r="H773" s="16"/>
    </row>
    <row r="774" spans="8:8" ht="13.2" x14ac:dyDescent="0.25">
      <c r="H774" s="16"/>
    </row>
    <row r="775" spans="8:8" ht="13.2" x14ac:dyDescent="0.25">
      <c r="H775" s="16"/>
    </row>
    <row r="776" spans="8:8" ht="13.2" x14ac:dyDescent="0.25">
      <c r="H776" s="16"/>
    </row>
    <row r="777" spans="8:8" ht="13.2" x14ac:dyDescent="0.25">
      <c r="H777" s="16"/>
    </row>
    <row r="778" spans="8:8" ht="13.2" x14ac:dyDescent="0.25">
      <c r="H778" s="16"/>
    </row>
    <row r="779" spans="8:8" ht="13.2" x14ac:dyDescent="0.25">
      <c r="H779" s="16"/>
    </row>
    <row r="780" spans="8:8" ht="13.2" x14ac:dyDescent="0.25">
      <c r="H780" s="16"/>
    </row>
    <row r="781" spans="8:8" ht="13.2" x14ac:dyDescent="0.25">
      <c r="H781" s="16"/>
    </row>
    <row r="782" spans="8:8" ht="13.2" x14ac:dyDescent="0.25">
      <c r="H782" s="16"/>
    </row>
    <row r="783" spans="8:8" ht="13.2" x14ac:dyDescent="0.25">
      <c r="H783" s="16"/>
    </row>
    <row r="784" spans="8:8" ht="13.2" x14ac:dyDescent="0.25">
      <c r="H784" s="16"/>
    </row>
    <row r="785" spans="8:8" ht="13.2" x14ac:dyDescent="0.25">
      <c r="H785" s="16"/>
    </row>
    <row r="786" spans="8:8" ht="13.2" x14ac:dyDescent="0.25">
      <c r="H786" s="16"/>
    </row>
    <row r="787" spans="8:8" ht="13.2" x14ac:dyDescent="0.25">
      <c r="H787" s="16"/>
    </row>
    <row r="788" spans="8:8" ht="13.2" x14ac:dyDescent="0.25">
      <c r="H788" s="16"/>
    </row>
    <row r="789" spans="8:8" ht="13.2" x14ac:dyDescent="0.25">
      <c r="H789" s="16"/>
    </row>
    <row r="790" spans="8:8" ht="13.2" x14ac:dyDescent="0.25">
      <c r="H790" s="16"/>
    </row>
    <row r="791" spans="8:8" ht="13.2" x14ac:dyDescent="0.25">
      <c r="H791" s="16"/>
    </row>
    <row r="792" spans="8:8" ht="13.2" x14ac:dyDescent="0.25">
      <c r="H792" s="16"/>
    </row>
    <row r="793" spans="8:8" ht="13.2" x14ac:dyDescent="0.25">
      <c r="H793" s="16"/>
    </row>
    <row r="794" spans="8:8" ht="13.2" x14ac:dyDescent="0.25">
      <c r="H794" s="16"/>
    </row>
    <row r="795" spans="8:8" ht="13.2" x14ac:dyDescent="0.25">
      <c r="H795" s="16"/>
    </row>
    <row r="796" spans="8:8" ht="13.2" x14ac:dyDescent="0.25">
      <c r="H796" s="16"/>
    </row>
    <row r="797" spans="8:8" ht="13.2" x14ac:dyDescent="0.25">
      <c r="H797" s="16"/>
    </row>
    <row r="798" spans="8:8" ht="13.2" x14ac:dyDescent="0.25">
      <c r="H798" s="16"/>
    </row>
    <row r="799" spans="8:8" ht="13.2" x14ac:dyDescent="0.25">
      <c r="H799" s="16"/>
    </row>
    <row r="800" spans="8:8" ht="13.2" x14ac:dyDescent="0.25">
      <c r="H800" s="16"/>
    </row>
    <row r="801" spans="8:8" ht="13.2" x14ac:dyDescent="0.25">
      <c r="H801" s="16"/>
    </row>
    <row r="802" spans="8:8" ht="13.2" x14ac:dyDescent="0.25">
      <c r="H802" s="16"/>
    </row>
    <row r="803" spans="8:8" ht="13.2" x14ac:dyDescent="0.25">
      <c r="H803" s="16"/>
    </row>
    <row r="804" spans="8:8" ht="13.2" x14ac:dyDescent="0.25">
      <c r="H804" s="16"/>
    </row>
    <row r="805" spans="8:8" ht="13.2" x14ac:dyDescent="0.25">
      <c r="H805" s="16"/>
    </row>
    <row r="806" spans="8:8" ht="13.2" x14ac:dyDescent="0.25">
      <c r="H806" s="16"/>
    </row>
    <row r="807" spans="8:8" ht="13.2" x14ac:dyDescent="0.25">
      <c r="H807" s="16"/>
    </row>
    <row r="808" spans="8:8" ht="13.2" x14ac:dyDescent="0.25">
      <c r="H808" s="16"/>
    </row>
    <row r="809" spans="8:8" ht="13.2" x14ac:dyDescent="0.25">
      <c r="H809" s="16"/>
    </row>
    <row r="810" spans="8:8" ht="13.2" x14ac:dyDescent="0.25">
      <c r="H810" s="16"/>
    </row>
    <row r="811" spans="8:8" ht="13.2" x14ac:dyDescent="0.25">
      <c r="H811" s="16"/>
    </row>
    <row r="812" spans="8:8" ht="13.2" x14ac:dyDescent="0.25">
      <c r="H812" s="16"/>
    </row>
    <row r="813" spans="8:8" ht="13.2" x14ac:dyDescent="0.25">
      <c r="H813" s="16"/>
    </row>
    <row r="814" spans="8:8" ht="13.2" x14ac:dyDescent="0.25">
      <c r="H814" s="16"/>
    </row>
    <row r="815" spans="8:8" ht="13.2" x14ac:dyDescent="0.25">
      <c r="H815" s="16"/>
    </row>
    <row r="816" spans="8:8" ht="13.2" x14ac:dyDescent="0.25">
      <c r="H816" s="16"/>
    </row>
    <row r="817" spans="8:8" ht="13.2" x14ac:dyDescent="0.25">
      <c r="H817" s="16"/>
    </row>
    <row r="818" spans="8:8" ht="13.2" x14ac:dyDescent="0.25">
      <c r="H818" s="16"/>
    </row>
    <row r="819" spans="8:8" ht="13.2" x14ac:dyDescent="0.25">
      <c r="H819" s="16"/>
    </row>
    <row r="820" spans="8:8" ht="13.2" x14ac:dyDescent="0.25">
      <c r="H820" s="16"/>
    </row>
    <row r="821" spans="8:8" ht="13.2" x14ac:dyDescent="0.25">
      <c r="H821" s="16"/>
    </row>
    <row r="822" spans="8:8" ht="13.2" x14ac:dyDescent="0.25">
      <c r="H822" s="16"/>
    </row>
    <row r="823" spans="8:8" ht="13.2" x14ac:dyDescent="0.25">
      <c r="H823" s="16"/>
    </row>
    <row r="824" spans="8:8" ht="13.2" x14ac:dyDescent="0.25">
      <c r="H824" s="16"/>
    </row>
    <row r="825" spans="8:8" ht="13.2" x14ac:dyDescent="0.25">
      <c r="H825" s="16"/>
    </row>
    <row r="826" spans="8:8" ht="13.2" x14ac:dyDescent="0.25">
      <c r="H826" s="16"/>
    </row>
    <row r="827" spans="8:8" ht="13.2" x14ac:dyDescent="0.25">
      <c r="H827" s="16"/>
    </row>
    <row r="828" spans="8:8" ht="13.2" x14ac:dyDescent="0.25">
      <c r="H828" s="16"/>
    </row>
    <row r="829" spans="8:8" ht="13.2" x14ac:dyDescent="0.25">
      <c r="H829" s="16"/>
    </row>
    <row r="830" spans="8:8" ht="13.2" x14ac:dyDescent="0.25">
      <c r="H830" s="16"/>
    </row>
    <row r="831" spans="8:8" ht="13.2" x14ac:dyDescent="0.25">
      <c r="H831" s="16"/>
    </row>
    <row r="832" spans="8:8" ht="13.2" x14ac:dyDescent="0.25">
      <c r="H832" s="16"/>
    </row>
    <row r="833" spans="8:8" ht="13.2" x14ac:dyDescent="0.25">
      <c r="H833" s="16"/>
    </row>
    <row r="834" spans="8:8" ht="13.2" x14ac:dyDescent="0.25">
      <c r="H834" s="16"/>
    </row>
    <row r="835" spans="8:8" ht="13.2" x14ac:dyDescent="0.25">
      <c r="H835" s="16"/>
    </row>
    <row r="836" spans="8:8" ht="13.2" x14ac:dyDescent="0.25">
      <c r="H836" s="16"/>
    </row>
    <row r="837" spans="8:8" ht="13.2" x14ac:dyDescent="0.25">
      <c r="H837" s="16"/>
    </row>
    <row r="838" spans="8:8" ht="13.2" x14ac:dyDescent="0.25">
      <c r="H838" s="16"/>
    </row>
    <row r="839" spans="8:8" ht="13.2" x14ac:dyDescent="0.25">
      <c r="H839" s="16"/>
    </row>
    <row r="840" spans="8:8" ht="13.2" x14ac:dyDescent="0.25">
      <c r="H840" s="16"/>
    </row>
    <row r="841" spans="8:8" ht="13.2" x14ac:dyDescent="0.25">
      <c r="H841" s="16"/>
    </row>
    <row r="842" spans="8:8" ht="13.2" x14ac:dyDescent="0.25">
      <c r="H842" s="16"/>
    </row>
    <row r="843" spans="8:8" ht="13.2" x14ac:dyDescent="0.25">
      <c r="H843" s="16"/>
    </row>
    <row r="844" spans="8:8" ht="13.2" x14ac:dyDescent="0.25">
      <c r="H844" s="16"/>
    </row>
    <row r="845" spans="8:8" ht="13.2" x14ac:dyDescent="0.25">
      <c r="H845" s="16"/>
    </row>
    <row r="846" spans="8:8" ht="13.2" x14ac:dyDescent="0.25">
      <c r="H846" s="16"/>
    </row>
    <row r="847" spans="8:8" ht="13.2" x14ac:dyDescent="0.25">
      <c r="H847" s="16"/>
    </row>
    <row r="848" spans="8:8" ht="13.2" x14ac:dyDescent="0.25">
      <c r="H848" s="16"/>
    </row>
    <row r="849" spans="8:8" ht="13.2" x14ac:dyDescent="0.25">
      <c r="H849" s="16"/>
    </row>
    <row r="850" spans="8:8" ht="13.2" x14ac:dyDescent="0.25">
      <c r="H850" s="16"/>
    </row>
    <row r="851" spans="8:8" ht="13.2" x14ac:dyDescent="0.25">
      <c r="H851" s="16"/>
    </row>
    <row r="852" spans="8:8" ht="13.2" x14ac:dyDescent="0.25">
      <c r="H852" s="16"/>
    </row>
    <row r="853" spans="8:8" ht="13.2" x14ac:dyDescent="0.25">
      <c r="H853" s="16"/>
    </row>
    <row r="854" spans="8:8" ht="13.2" x14ac:dyDescent="0.25">
      <c r="H854" s="16"/>
    </row>
    <row r="855" spans="8:8" ht="13.2" x14ac:dyDescent="0.25">
      <c r="H855" s="16"/>
    </row>
    <row r="856" spans="8:8" ht="13.2" x14ac:dyDescent="0.25">
      <c r="H856" s="16"/>
    </row>
    <row r="857" spans="8:8" ht="13.2" x14ac:dyDescent="0.25">
      <c r="H857" s="16"/>
    </row>
    <row r="858" spans="8:8" ht="13.2" x14ac:dyDescent="0.25">
      <c r="H858" s="16"/>
    </row>
    <row r="859" spans="8:8" ht="13.2" x14ac:dyDescent="0.25">
      <c r="H859" s="16"/>
    </row>
    <row r="860" spans="8:8" ht="13.2" x14ac:dyDescent="0.25">
      <c r="H860" s="16"/>
    </row>
    <row r="861" spans="8:8" ht="13.2" x14ac:dyDescent="0.25">
      <c r="H861" s="16"/>
    </row>
    <row r="862" spans="8:8" ht="13.2" x14ac:dyDescent="0.25">
      <c r="H862" s="16"/>
    </row>
    <row r="863" spans="8:8" ht="13.2" x14ac:dyDescent="0.25">
      <c r="H863" s="16"/>
    </row>
    <row r="864" spans="8:8" ht="13.2" x14ac:dyDescent="0.25">
      <c r="H864" s="16"/>
    </row>
    <row r="865" spans="8:8" ht="13.2" x14ac:dyDescent="0.25">
      <c r="H865" s="16"/>
    </row>
    <row r="866" spans="8:8" ht="13.2" x14ac:dyDescent="0.25">
      <c r="H866" s="16"/>
    </row>
    <row r="867" spans="8:8" ht="13.2" x14ac:dyDescent="0.25">
      <c r="H867" s="16"/>
    </row>
    <row r="868" spans="8:8" ht="13.2" x14ac:dyDescent="0.25">
      <c r="H868" s="16"/>
    </row>
    <row r="869" spans="8:8" ht="13.2" x14ac:dyDescent="0.25">
      <c r="H869" s="16"/>
    </row>
    <row r="870" spans="8:8" ht="13.2" x14ac:dyDescent="0.25">
      <c r="H870" s="16"/>
    </row>
    <row r="871" spans="8:8" ht="13.2" x14ac:dyDescent="0.25">
      <c r="H871" s="16"/>
    </row>
    <row r="872" spans="8:8" ht="13.2" x14ac:dyDescent="0.25">
      <c r="H872" s="16"/>
    </row>
    <row r="873" spans="8:8" ht="13.2" x14ac:dyDescent="0.25">
      <c r="H873" s="16"/>
    </row>
    <row r="874" spans="8:8" ht="13.2" x14ac:dyDescent="0.25">
      <c r="H874" s="16"/>
    </row>
    <row r="875" spans="8:8" ht="13.2" x14ac:dyDescent="0.25">
      <c r="H875" s="16"/>
    </row>
    <row r="876" spans="8:8" ht="13.2" x14ac:dyDescent="0.25">
      <c r="H876" s="16"/>
    </row>
    <row r="877" spans="8:8" ht="13.2" x14ac:dyDescent="0.25">
      <c r="H877" s="16"/>
    </row>
    <row r="878" spans="8:8" ht="13.2" x14ac:dyDescent="0.25">
      <c r="H878" s="16"/>
    </row>
    <row r="879" spans="8:8" ht="13.2" x14ac:dyDescent="0.25">
      <c r="H879" s="16"/>
    </row>
    <row r="880" spans="8:8" ht="13.2" x14ac:dyDescent="0.25">
      <c r="H880" s="16"/>
    </row>
    <row r="881" spans="8:8" ht="13.2" x14ac:dyDescent="0.25">
      <c r="H881" s="16"/>
    </row>
    <row r="882" spans="8:8" ht="13.2" x14ac:dyDescent="0.25">
      <c r="H882" s="16"/>
    </row>
    <row r="883" spans="8:8" ht="13.2" x14ac:dyDescent="0.25">
      <c r="H883" s="16"/>
    </row>
    <row r="884" spans="8:8" ht="13.2" x14ac:dyDescent="0.25">
      <c r="H884" s="16"/>
    </row>
    <row r="885" spans="8:8" ht="13.2" x14ac:dyDescent="0.25">
      <c r="H885" s="16"/>
    </row>
    <row r="886" spans="8:8" ht="13.2" x14ac:dyDescent="0.25">
      <c r="H886" s="16"/>
    </row>
    <row r="887" spans="8:8" ht="13.2" x14ac:dyDescent="0.25">
      <c r="H887" s="16"/>
    </row>
    <row r="888" spans="8:8" ht="13.2" x14ac:dyDescent="0.25">
      <c r="H888" s="16"/>
    </row>
    <row r="889" spans="8:8" ht="13.2" x14ac:dyDescent="0.25">
      <c r="H889" s="16"/>
    </row>
    <row r="890" spans="8:8" ht="13.2" x14ac:dyDescent="0.25">
      <c r="H890" s="16"/>
    </row>
    <row r="891" spans="8:8" ht="13.2" x14ac:dyDescent="0.25">
      <c r="H891" s="16"/>
    </row>
    <row r="892" spans="8:8" ht="13.2" x14ac:dyDescent="0.25">
      <c r="H892" s="16"/>
    </row>
    <row r="893" spans="8:8" ht="13.2" x14ac:dyDescent="0.25">
      <c r="H893" s="16"/>
    </row>
    <row r="894" spans="8:8" ht="13.2" x14ac:dyDescent="0.25">
      <c r="H894" s="16"/>
    </row>
    <row r="895" spans="8:8" ht="13.2" x14ac:dyDescent="0.25">
      <c r="H895" s="16"/>
    </row>
    <row r="896" spans="8:8" ht="13.2" x14ac:dyDescent="0.25">
      <c r="H896" s="16"/>
    </row>
    <row r="897" spans="8:8" ht="13.2" x14ac:dyDescent="0.25">
      <c r="H897" s="16"/>
    </row>
    <row r="898" spans="8:8" ht="13.2" x14ac:dyDescent="0.25">
      <c r="H898" s="16"/>
    </row>
    <row r="899" spans="8:8" ht="13.2" x14ac:dyDescent="0.25">
      <c r="H899" s="16"/>
    </row>
    <row r="900" spans="8:8" ht="13.2" x14ac:dyDescent="0.25">
      <c r="H900" s="16"/>
    </row>
    <row r="901" spans="8:8" ht="13.2" x14ac:dyDescent="0.25">
      <c r="H901" s="16"/>
    </row>
    <row r="902" spans="8:8" ht="13.2" x14ac:dyDescent="0.25">
      <c r="H902" s="16"/>
    </row>
    <row r="903" spans="8:8" ht="13.2" x14ac:dyDescent="0.25">
      <c r="H903" s="16"/>
    </row>
    <row r="904" spans="8:8" ht="13.2" x14ac:dyDescent="0.25">
      <c r="H904" s="16"/>
    </row>
    <row r="905" spans="8:8" ht="13.2" x14ac:dyDescent="0.25">
      <c r="H905" s="16"/>
    </row>
    <row r="906" spans="8:8" ht="13.2" x14ac:dyDescent="0.25">
      <c r="H906" s="16"/>
    </row>
    <row r="907" spans="8:8" ht="13.2" x14ac:dyDescent="0.25">
      <c r="H907" s="16"/>
    </row>
    <row r="908" spans="8:8" ht="13.2" x14ac:dyDescent="0.25">
      <c r="H908" s="16"/>
    </row>
    <row r="909" spans="8:8" ht="13.2" x14ac:dyDescent="0.25">
      <c r="H909" s="16"/>
    </row>
    <row r="910" spans="8:8" ht="13.2" x14ac:dyDescent="0.25">
      <c r="H910" s="16"/>
    </row>
    <row r="911" spans="8:8" ht="13.2" x14ac:dyDescent="0.25">
      <c r="H911" s="16"/>
    </row>
    <row r="912" spans="8:8" ht="13.2" x14ac:dyDescent="0.25">
      <c r="H912" s="16"/>
    </row>
    <row r="913" spans="8:8" ht="13.2" x14ac:dyDescent="0.25">
      <c r="H913" s="16"/>
    </row>
    <row r="914" spans="8:8" ht="13.2" x14ac:dyDescent="0.25">
      <c r="H914" s="16"/>
    </row>
    <row r="915" spans="8:8" ht="13.2" x14ac:dyDescent="0.25">
      <c r="H915" s="16"/>
    </row>
    <row r="916" spans="8:8" ht="13.2" x14ac:dyDescent="0.25">
      <c r="H916" s="16"/>
    </row>
    <row r="917" spans="8:8" ht="13.2" x14ac:dyDescent="0.25">
      <c r="H917" s="16"/>
    </row>
    <row r="918" spans="8:8" ht="13.2" x14ac:dyDescent="0.25">
      <c r="H918" s="16"/>
    </row>
    <row r="919" spans="8:8" ht="13.2" x14ac:dyDescent="0.25">
      <c r="H919" s="16"/>
    </row>
    <row r="920" spans="8:8" ht="13.2" x14ac:dyDescent="0.25">
      <c r="H920" s="16"/>
    </row>
    <row r="921" spans="8:8" ht="13.2" x14ac:dyDescent="0.25">
      <c r="H921" s="16"/>
    </row>
    <row r="922" spans="8:8" ht="13.2" x14ac:dyDescent="0.25">
      <c r="H922" s="16"/>
    </row>
    <row r="923" spans="8:8" ht="13.2" x14ac:dyDescent="0.25">
      <c r="H923" s="16"/>
    </row>
    <row r="924" spans="8:8" ht="13.2" x14ac:dyDescent="0.25">
      <c r="H924" s="16"/>
    </row>
    <row r="925" spans="8:8" ht="13.2" x14ac:dyDescent="0.25">
      <c r="H925" s="16"/>
    </row>
    <row r="926" spans="8:8" ht="13.2" x14ac:dyDescent="0.25">
      <c r="H926" s="16"/>
    </row>
    <row r="927" spans="8:8" ht="13.2" x14ac:dyDescent="0.25">
      <c r="H927" s="16"/>
    </row>
    <row r="928" spans="8:8" ht="13.2" x14ac:dyDescent="0.25">
      <c r="H928" s="16"/>
    </row>
    <row r="929" spans="8:8" ht="13.2" x14ac:dyDescent="0.25">
      <c r="H929" s="16"/>
    </row>
    <row r="930" spans="8:8" ht="13.2" x14ac:dyDescent="0.25">
      <c r="H930" s="16"/>
    </row>
    <row r="931" spans="8:8" ht="13.2" x14ac:dyDescent="0.25">
      <c r="H931" s="16"/>
    </row>
    <row r="932" spans="8:8" ht="13.2" x14ac:dyDescent="0.25">
      <c r="H932" s="16"/>
    </row>
    <row r="933" spans="8:8" ht="13.2" x14ac:dyDescent="0.25">
      <c r="H933" s="16"/>
    </row>
    <row r="934" spans="8:8" ht="13.2" x14ac:dyDescent="0.25">
      <c r="H934" s="16"/>
    </row>
    <row r="935" spans="8:8" ht="13.2" x14ac:dyDescent="0.25">
      <c r="H935" s="16"/>
    </row>
    <row r="936" spans="8:8" ht="13.2" x14ac:dyDescent="0.25">
      <c r="H936" s="16"/>
    </row>
    <row r="937" spans="8:8" ht="13.2" x14ac:dyDescent="0.25">
      <c r="H937" s="16"/>
    </row>
    <row r="938" spans="8:8" ht="13.2" x14ac:dyDescent="0.25">
      <c r="H938" s="16"/>
    </row>
    <row r="939" spans="8:8" ht="13.2" x14ac:dyDescent="0.25">
      <c r="H939" s="16"/>
    </row>
    <row r="940" spans="8:8" ht="13.2" x14ac:dyDescent="0.25">
      <c r="H940" s="16"/>
    </row>
    <row r="941" spans="8:8" ht="13.2" x14ac:dyDescent="0.25">
      <c r="H941" s="16"/>
    </row>
    <row r="942" spans="8:8" ht="13.2" x14ac:dyDescent="0.25">
      <c r="H942" s="16"/>
    </row>
    <row r="943" spans="8:8" ht="13.2" x14ac:dyDescent="0.25">
      <c r="H943" s="16"/>
    </row>
    <row r="944" spans="8:8" ht="13.2" x14ac:dyDescent="0.25">
      <c r="H944" s="16"/>
    </row>
    <row r="945" spans="8:8" ht="13.2" x14ac:dyDescent="0.25">
      <c r="H945" s="16"/>
    </row>
    <row r="946" spans="8:8" ht="13.2" x14ac:dyDescent="0.25">
      <c r="H946" s="16"/>
    </row>
    <row r="947" spans="8:8" ht="13.2" x14ac:dyDescent="0.25">
      <c r="H947" s="16"/>
    </row>
    <row r="948" spans="8:8" ht="13.2" x14ac:dyDescent="0.25">
      <c r="H948" s="16"/>
    </row>
    <row r="949" spans="8:8" ht="13.2" x14ac:dyDescent="0.25">
      <c r="H949" s="16"/>
    </row>
    <row r="950" spans="8:8" ht="13.2" x14ac:dyDescent="0.25">
      <c r="H950" s="16"/>
    </row>
    <row r="951" spans="8:8" ht="13.2" x14ac:dyDescent="0.25">
      <c r="H951" s="16"/>
    </row>
    <row r="952" spans="8:8" ht="13.2" x14ac:dyDescent="0.25">
      <c r="H952" s="16"/>
    </row>
    <row r="953" spans="8:8" ht="13.2" x14ac:dyDescent="0.25">
      <c r="H953" s="16"/>
    </row>
    <row r="954" spans="8:8" ht="13.2" x14ac:dyDescent="0.25">
      <c r="H954" s="16"/>
    </row>
    <row r="955" spans="8:8" ht="13.2" x14ac:dyDescent="0.25">
      <c r="H955" s="16"/>
    </row>
    <row r="956" spans="8:8" ht="13.2" x14ac:dyDescent="0.25">
      <c r="H956" s="16"/>
    </row>
    <row r="957" spans="8:8" ht="13.2" x14ac:dyDescent="0.25">
      <c r="H957" s="16"/>
    </row>
    <row r="958" spans="8:8" ht="13.2" x14ac:dyDescent="0.25">
      <c r="H958" s="16"/>
    </row>
    <row r="959" spans="8:8" ht="13.2" x14ac:dyDescent="0.25">
      <c r="H959" s="16"/>
    </row>
    <row r="960" spans="8:8" ht="13.2" x14ac:dyDescent="0.25">
      <c r="H960" s="16"/>
    </row>
    <row r="961" spans="8:8" ht="13.2" x14ac:dyDescent="0.25">
      <c r="H961" s="16"/>
    </row>
    <row r="962" spans="8:8" ht="13.2" x14ac:dyDescent="0.25">
      <c r="H962" s="16"/>
    </row>
    <row r="963" spans="8:8" ht="13.2" x14ac:dyDescent="0.25">
      <c r="H963" s="16"/>
    </row>
    <row r="964" spans="8:8" ht="13.2" x14ac:dyDescent="0.25">
      <c r="H964" s="16"/>
    </row>
    <row r="965" spans="8:8" ht="13.2" x14ac:dyDescent="0.25">
      <c r="H965" s="16"/>
    </row>
    <row r="966" spans="8:8" ht="13.2" x14ac:dyDescent="0.25">
      <c r="H966" s="16"/>
    </row>
    <row r="967" spans="8:8" ht="13.2" x14ac:dyDescent="0.25">
      <c r="H967" s="16"/>
    </row>
    <row r="968" spans="8:8" ht="13.2" x14ac:dyDescent="0.25">
      <c r="H968" s="16"/>
    </row>
    <row r="969" spans="8:8" ht="13.2" x14ac:dyDescent="0.25">
      <c r="H969" s="16"/>
    </row>
    <row r="970" spans="8:8" ht="13.2" x14ac:dyDescent="0.25">
      <c r="H970" s="16"/>
    </row>
    <row r="971" spans="8:8" ht="13.2" x14ac:dyDescent="0.25">
      <c r="H971" s="16"/>
    </row>
    <row r="972" spans="8:8" ht="13.2" x14ac:dyDescent="0.25">
      <c r="H972" s="16"/>
    </row>
    <row r="973" spans="8:8" ht="13.2" x14ac:dyDescent="0.25">
      <c r="H973" s="16"/>
    </row>
    <row r="974" spans="8:8" ht="13.2" x14ac:dyDescent="0.25">
      <c r="H974" s="16"/>
    </row>
    <row r="975" spans="8:8" ht="13.2" x14ac:dyDescent="0.25">
      <c r="H975" s="16"/>
    </row>
    <row r="976" spans="8:8" ht="13.2" x14ac:dyDescent="0.25">
      <c r="H976" s="16"/>
    </row>
    <row r="977" spans="8:8" ht="13.2" x14ac:dyDescent="0.25">
      <c r="H977" s="16"/>
    </row>
    <row r="978" spans="8:8" ht="13.2" x14ac:dyDescent="0.25">
      <c r="H978" s="16"/>
    </row>
    <row r="979" spans="8:8" ht="13.2" x14ac:dyDescent="0.25">
      <c r="H979" s="16"/>
    </row>
    <row r="980" spans="8:8" ht="13.2" x14ac:dyDescent="0.25">
      <c r="H980" s="16"/>
    </row>
    <row r="981" spans="8:8" ht="13.2" x14ac:dyDescent="0.25">
      <c r="H981" s="16"/>
    </row>
    <row r="982" spans="8:8" ht="13.2" x14ac:dyDescent="0.25">
      <c r="H982" s="16"/>
    </row>
    <row r="983" spans="8:8" ht="13.2" x14ac:dyDescent="0.25">
      <c r="H983" s="16"/>
    </row>
    <row r="984" spans="8:8" ht="13.2" x14ac:dyDescent="0.25">
      <c r="H984" s="16"/>
    </row>
    <row r="985" spans="8:8" ht="13.2" x14ac:dyDescent="0.25">
      <c r="H985" s="16"/>
    </row>
    <row r="986" spans="8:8" ht="13.2" x14ac:dyDescent="0.25">
      <c r="H986" s="16"/>
    </row>
    <row r="987" spans="8:8" ht="13.2" x14ac:dyDescent="0.25">
      <c r="H987" s="16"/>
    </row>
    <row r="988" spans="8:8" ht="13.2" x14ac:dyDescent="0.25">
      <c r="H988" s="16"/>
    </row>
    <row r="989" spans="8:8" ht="13.2" x14ac:dyDescent="0.25">
      <c r="H989" s="16"/>
    </row>
    <row r="990" spans="8:8" ht="13.2" x14ac:dyDescent="0.25">
      <c r="H990" s="16"/>
    </row>
    <row r="991" spans="8:8" ht="13.2" x14ac:dyDescent="0.25">
      <c r="H991" s="16"/>
    </row>
    <row r="992" spans="8:8" ht="13.2" x14ac:dyDescent="0.25">
      <c r="H992" s="16"/>
    </row>
    <row r="993" spans="8:8" ht="13.2" x14ac:dyDescent="0.25">
      <c r="H993" s="16"/>
    </row>
    <row r="994" spans="8:8" ht="13.2" x14ac:dyDescent="0.25">
      <c r="H994" s="16"/>
    </row>
    <row r="995" spans="8:8" ht="13.2" x14ac:dyDescent="0.25">
      <c r="H995" s="16"/>
    </row>
    <row r="996" spans="8:8" ht="13.2" x14ac:dyDescent="0.25">
      <c r="H996" s="16"/>
    </row>
    <row r="997" spans="8:8" ht="13.2" x14ac:dyDescent="0.25">
      <c r="H997" s="16"/>
    </row>
    <row r="998" spans="8:8" ht="13.2" x14ac:dyDescent="0.25">
      <c r="H998" s="16"/>
    </row>
    <row r="999" spans="8:8" ht="13.2" x14ac:dyDescent="0.25">
      <c r="H999" s="16"/>
    </row>
    <row r="1000" spans="8:8" ht="13.2" x14ac:dyDescent="0.25">
      <c r="H1000" s="16"/>
    </row>
    <row r="1001" spans="8:8" ht="13.2" x14ac:dyDescent="0.25">
      <c r="H1001" s="16"/>
    </row>
    <row r="1002" spans="8:8" ht="13.2" x14ac:dyDescent="0.25">
      <c r="H1002" s="16"/>
    </row>
    <row r="1003" spans="8:8" ht="13.2" x14ac:dyDescent="0.25">
      <c r="H1003" s="16"/>
    </row>
    <row r="1004" spans="8:8" ht="13.2" x14ac:dyDescent="0.25">
      <c r="H1004" s="16"/>
    </row>
    <row r="1005" spans="8:8" ht="13.2" x14ac:dyDescent="0.25">
      <c r="H1005" s="16"/>
    </row>
    <row r="1006" spans="8:8" ht="13.2" x14ac:dyDescent="0.25">
      <c r="H1006" s="16"/>
    </row>
    <row r="1007" spans="8:8" ht="13.2" x14ac:dyDescent="0.25">
      <c r="H1007" s="16"/>
    </row>
    <row r="1008" spans="8:8" ht="13.2" x14ac:dyDescent="0.25">
      <c r="H1008" s="16"/>
    </row>
    <row r="1009" spans="8:8" ht="13.2" x14ac:dyDescent="0.25">
      <c r="H1009" s="16"/>
    </row>
    <row r="1010" spans="8:8" ht="13.2" x14ac:dyDescent="0.25">
      <c r="H1010" s="16"/>
    </row>
    <row r="1011" spans="8:8" ht="13.2" x14ac:dyDescent="0.25">
      <c r="H1011" s="16"/>
    </row>
    <row r="1012" spans="8:8" ht="13.2" x14ac:dyDescent="0.25">
      <c r="H1012" s="16"/>
    </row>
    <row r="1013" spans="8:8" ht="13.2" x14ac:dyDescent="0.25">
      <c r="H1013" s="16"/>
    </row>
    <row r="1014" spans="8:8" ht="13.2" x14ac:dyDescent="0.25">
      <c r="H1014" s="1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117"/>
  <sheetViews>
    <sheetView topLeftCell="C147" workbookViewId="0">
      <selection activeCell="J81" sqref="J81"/>
    </sheetView>
  </sheetViews>
  <sheetFormatPr defaultColWidth="12.6640625" defaultRowHeight="15" customHeight="1" x14ac:dyDescent="0.25"/>
  <cols>
    <col min="1" max="1" width="24.6640625" customWidth="1"/>
    <col min="2" max="5" width="12.6640625" customWidth="1"/>
    <col min="9" max="9" width="12.6640625" style="30"/>
    <col min="12" max="12" width="20.77734375" bestFit="1" customWidth="1"/>
    <col min="14" max="14" width="14.77734375" bestFit="1" customWidth="1"/>
  </cols>
  <sheetData>
    <row r="1" spans="1:11" ht="15" customHeight="1" x14ac:dyDescent="0.25">
      <c r="A1" s="61" t="s">
        <v>219</v>
      </c>
    </row>
    <row r="2" spans="1:11" ht="13.2" x14ac:dyDescent="0.25">
      <c r="A2" s="1" t="s">
        <v>0</v>
      </c>
      <c r="B2" s="1" t="s">
        <v>1</v>
      </c>
      <c r="C2" s="2" t="s">
        <v>2</v>
      </c>
      <c r="D2" s="2" t="s">
        <v>3</v>
      </c>
      <c r="E2" s="3" t="s">
        <v>4</v>
      </c>
      <c r="F2" s="22" t="s">
        <v>179</v>
      </c>
      <c r="G2" s="18" t="s">
        <v>180</v>
      </c>
      <c r="H2" s="23" t="s">
        <v>181</v>
      </c>
      <c r="I2" s="18" t="s">
        <v>182</v>
      </c>
      <c r="J2" s="33"/>
    </row>
    <row r="3" spans="1:11" ht="13.2" x14ac:dyDescent="0.25">
      <c r="A3" s="32" t="s">
        <v>5</v>
      </c>
      <c r="B3" s="32">
        <v>2</v>
      </c>
      <c r="C3" s="34" t="s">
        <v>6</v>
      </c>
      <c r="D3" s="36">
        <v>700</v>
      </c>
      <c r="E3" s="46">
        <f t="shared" ref="E3:E16" si="0">D3/220</f>
        <v>3.1818181818181817</v>
      </c>
      <c r="F3" s="39">
        <v>1.5</v>
      </c>
      <c r="G3" s="47">
        <v>1.5</v>
      </c>
      <c r="H3" s="47">
        <v>1.5</v>
      </c>
      <c r="I3" s="47">
        <v>6</v>
      </c>
    </row>
    <row r="4" spans="1:11" ht="13.2" x14ac:dyDescent="0.25">
      <c r="A4" s="32" t="s">
        <v>5</v>
      </c>
      <c r="B4" s="32">
        <v>3</v>
      </c>
      <c r="C4" s="34" t="s">
        <v>7</v>
      </c>
      <c r="D4" s="36">
        <v>1050</v>
      </c>
      <c r="E4" s="46">
        <f t="shared" si="0"/>
        <v>4.7727272727272725</v>
      </c>
      <c r="F4" s="39">
        <v>1.5</v>
      </c>
      <c r="G4" s="47">
        <v>1.5</v>
      </c>
      <c r="H4" s="47">
        <v>1.5</v>
      </c>
      <c r="I4" s="47">
        <v>6</v>
      </c>
      <c r="K4" s="24"/>
    </row>
    <row r="5" spans="1:11" ht="13.2" x14ac:dyDescent="0.25">
      <c r="A5" s="32" t="s">
        <v>8</v>
      </c>
      <c r="B5" s="32">
        <v>1</v>
      </c>
      <c r="C5" s="34" t="s">
        <v>9</v>
      </c>
      <c r="D5" s="36">
        <v>1120</v>
      </c>
      <c r="E5" s="46">
        <f t="shared" si="0"/>
        <v>5.0909090909090908</v>
      </c>
      <c r="F5" s="39">
        <v>1.5</v>
      </c>
      <c r="G5" s="47">
        <v>1.5</v>
      </c>
      <c r="H5" s="47">
        <v>1.5</v>
      </c>
      <c r="I5" s="47">
        <v>6</v>
      </c>
    </row>
    <row r="6" spans="1:11" ht="13.2" x14ac:dyDescent="0.25">
      <c r="A6" s="32" t="s">
        <v>8</v>
      </c>
      <c r="B6" s="32">
        <v>1</v>
      </c>
      <c r="C6" s="34" t="s">
        <v>10</v>
      </c>
      <c r="D6" s="36">
        <v>1120</v>
      </c>
      <c r="E6" s="46">
        <f t="shared" si="0"/>
        <v>5.0909090909090908</v>
      </c>
      <c r="F6" s="39">
        <v>1.5</v>
      </c>
      <c r="G6" s="47">
        <v>1.5</v>
      </c>
      <c r="H6" s="47">
        <v>1.5</v>
      </c>
      <c r="I6" s="47">
        <v>6</v>
      </c>
    </row>
    <row r="7" spans="1:11" ht="13.2" x14ac:dyDescent="0.25">
      <c r="A7" s="32" t="s">
        <v>8</v>
      </c>
      <c r="B7" s="32">
        <v>1</v>
      </c>
      <c r="C7" s="34" t="s">
        <v>11</v>
      </c>
      <c r="D7" s="36">
        <v>1120</v>
      </c>
      <c r="E7" s="46">
        <f t="shared" si="0"/>
        <v>5.0909090909090908</v>
      </c>
      <c r="F7" s="39">
        <v>1.5</v>
      </c>
      <c r="G7" s="47">
        <v>1.5</v>
      </c>
      <c r="H7" s="47">
        <v>1.5</v>
      </c>
      <c r="I7" s="47">
        <v>6</v>
      </c>
    </row>
    <row r="8" spans="1:11" ht="13.2" x14ac:dyDescent="0.25">
      <c r="A8" s="32" t="s">
        <v>8</v>
      </c>
      <c r="B8" s="32">
        <v>1</v>
      </c>
      <c r="C8" s="34" t="s">
        <v>12</v>
      </c>
      <c r="D8" s="36">
        <v>1120</v>
      </c>
      <c r="E8" s="46">
        <f t="shared" si="0"/>
        <v>5.0909090909090908</v>
      </c>
      <c r="F8" s="39">
        <v>1.5</v>
      </c>
      <c r="G8" s="47">
        <v>1.5</v>
      </c>
      <c r="H8" s="47">
        <v>1.5</v>
      </c>
      <c r="I8" s="47">
        <v>6</v>
      </c>
    </row>
    <row r="9" spans="1:11" ht="13.2" x14ac:dyDescent="0.25">
      <c r="A9" s="32" t="s">
        <v>8</v>
      </c>
      <c r="B9" s="32">
        <v>1</v>
      </c>
      <c r="C9" s="34" t="s">
        <v>13</v>
      </c>
      <c r="D9" s="36">
        <v>1120</v>
      </c>
      <c r="E9" s="46">
        <f t="shared" si="0"/>
        <v>5.0909090909090908</v>
      </c>
      <c r="F9" s="39">
        <v>1.5</v>
      </c>
      <c r="G9" s="47">
        <v>1.5</v>
      </c>
      <c r="H9" s="47">
        <v>1.5</v>
      </c>
      <c r="I9" s="47">
        <v>6</v>
      </c>
    </row>
    <row r="10" spans="1:11" ht="13.2" x14ac:dyDescent="0.25">
      <c r="A10" s="32" t="s">
        <v>8</v>
      </c>
      <c r="B10" s="32">
        <v>1</v>
      </c>
      <c r="C10" s="34" t="s">
        <v>14</v>
      </c>
      <c r="D10" s="36">
        <v>1120</v>
      </c>
      <c r="E10" s="46">
        <f t="shared" si="0"/>
        <v>5.0909090909090908</v>
      </c>
      <c r="F10" s="39">
        <v>1.5</v>
      </c>
      <c r="G10" s="47">
        <v>1.5</v>
      </c>
      <c r="H10" s="47">
        <v>1.5</v>
      </c>
      <c r="I10" s="47">
        <v>6</v>
      </c>
    </row>
    <row r="11" spans="1:11" ht="13.2" x14ac:dyDescent="0.25">
      <c r="A11" s="32" t="s">
        <v>15</v>
      </c>
      <c r="B11" s="32">
        <v>1</v>
      </c>
      <c r="C11" s="34" t="s">
        <v>16</v>
      </c>
      <c r="D11" s="36">
        <v>1500</v>
      </c>
      <c r="E11" s="46">
        <f t="shared" si="0"/>
        <v>6.8181818181818183</v>
      </c>
      <c r="F11" s="39">
        <v>1.5</v>
      </c>
      <c r="G11" s="47">
        <v>1.5</v>
      </c>
      <c r="H11" s="47">
        <v>1.5</v>
      </c>
      <c r="I11" s="47">
        <v>10</v>
      </c>
    </row>
    <row r="12" spans="1:11" ht="13.2" x14ac:dyDescent="0.25">
      <c r="A12" s="35" t="s">
        <v>17</v>
      </c>
      <c r="B12" s="35">
        <v>1</v>
      </c>
      <c r="C12" s="34" t="s">
        <v>18</v>
      </c>
      <c r="D12" s="37">
        <v>2200</v>
      </c>
      <c r="E12" s="46">
        <f t="shared" si="0"/>
        <v>10</v>
      </c>
      <c r="F12" s="39">
        <v>1.5</v>
      </c>
      <c r="G12" s="47">
        <v>1.5</v>
      </c>
      <c r="H12" s="47">
        <v>1.5</v>
      </c>
      <c r="I12" s="47">
        <v>12</v>
      </c>
    </row>
    <row r="13" spans="1:11" ht="13.2" x14ac:dyDescent="0.25">
      <c r="A13" s="35" t="s">
        <v>17</v>
      </c>
      <c r="B13" s="35">
        <v>1</v>
      </c>
      <c r="C13" s="34" t="s">
        <v>19</v>
      </c>
      <c r="D13" s="37">
        <v>2200</v>
      </c>
      <c r="E13" s="46">
        <f t="shared" si="0"/>
        <v>10</v>
      </c>
      <c r="F13" s="39">
        <v>1.5</v>
      </c>
      <c r="G13" s="47">
        <v>1.5</v>
      </c>
      <c r="H13" s="47">
        <v>1.5</v>
      </c>
      <c r="I13" s="47">
        <v>12</v>
      </c>
    </row>
    <row r="14" spans="1:11" ht="13.2" x14ac:dyDescent="0.25">
      <c r="A14" s="35" t="s">
        <v>17</v>
      </c>
      <c r="B14" s="35">
        <v>1</v>
      </c>
      <c r="C14" s="34" t="s">
        <v>20</v>
      </c>
      <c r="D14" s="37">
        <v>2200</v>
      </c>
      <c r="E14" s="46">
        <f t="shared" si="0"/>
        <v>10</v>
      </c>
      <c r="F14" s="39">
        <v>1.5</v>
      </c>
      <c r="G14" s="47">
        <v>1.5</v>
      </c>
      <c r="H14" s="47">
        <v>1.5</v>
      </c>
      <c r="I14" s="47">
        <v>12</v>
      </c>
    </row>
    <row r="15" spans="1:11" ht="13.2" x14ac:dyDescent="0.25">
      <c r="A15" s="35" t="s">
        <v>17</v>
      </c>
      <c r="B15" s="35">
        <v>1</v>
      </c>
      <c r="C15" s="34" t="s">
        <v>21</v>
      </c>
      <c r="D15" s="37">
        <v>2200</v>
      </c>
      <c r="E15" s="46">
        <f t="shared" si="0"/>
        <v>10</v>
      </c>
      <c r="F15" s="39">
        <v>1.5</v>
      </c>
      <c r="G15" s="47">
        <v>1.5</v>
      </c>
      <c r="H15" s="47">
        <v>1.5</v>
      </c>
      <c r="I15" s="47">
        <v>12</v>
      </c>
    </row>
    <row r="16" spans="1:11" ht="13.2" x14ac:dyDescent="0.25">
      <c r="A16" s="35" t="s">
        <v>17</v>
      </c>
      <c r="B16" s="35">
        <v>1</v>
      </c>
      <c r="C16" s="34" t="s">
        <v>22</v>
      </c>
      <c r="D16" s="37">
        <v>2200</v>
      </c>
      <c r="E16" s="46">
        <f t="shared" si="0"/>
        <v>10</v>
      </c>
      <c r="F16" s="39">
        <v>1.5</v>
      </c>
      <c r="G16" s="47">
        <v>1.5</v>
      </c>
      <c r="H16" s="47">
        <v>1.5</v>
      </c>
      <c r="I16" s="47">
        <v>12</v>
      </c>
    </row>
    <row r="17" spans="1:10" ht="13.2" x14ac:dyDescent="0.25">
      <c r="A17" s="8"/>
      <c r="B17" s="8"/>
      <c r="C17" s="48" t="s">
        <v>230</v>
      </c>
      <c r="D17" s="50">
        <f>SUM(D3:D16)</f>
        <v>20970</v>
      </c>
      <c r="E17" s="51">
        <f>SUM(E3:E16)</f>
        <v>95.318181818181813</v>
      </c>
      <c r="F17" s="16"/>
      <c r="G17" s="16"/>
      <c r="H17" s="16"/>
    </row>
    <row r="18" spans="1:10" ht="13.2" x14ac:dyDescent="0.25">
      <c r="A18" s="8"/>
      <c r="B18" s="8"/>
      <c r="C18" s="56"/>
      <c r="D18" s="58"/>
      <c r="E18" s="59"/>
      <c r="F18" s="16"/>
      <c r="G18" s="16"/>
      <c r="H18" s="16"/>
    </row>
    <row r="19" spans="1:10" ht="13.2" x14ac:dyDescent="0.25">
      <c r="A19" s="60" t="s">
        <v>217</v>
      </c>
      <c r="B19" s="8"/>
      <c r="C19" s="5"/>
      <c r="D19" s="9"/>
      <c r="E19" s="7"/>
      <c r="F19" s="16"/>
      <c r="G19" s="16"/>
      <c r="H19" s="16"/>
    </row>
    <row r="20" spans="1:10" ht="13.2" x14ac:dyDescent="0.25">
      <c r="A20" s="1" t="s">
        <v>23</v>
      </c>
      <c r="B20" s="1" t="s">
        <v>1</v>
      </c>
      <c r="C20" s="2" t="s">
        <v>2</v>
      </c>
      <c r="D20" s="2" t="s">
        <v>3</v>
      </c>
      <c r="E20" s="3" t="s">
        <v>4</v>
      </c>
      <c r="F20" s="22" t="s">
        <v>179</v>
      </c>
      <c r="G20" s="18" t="s">
        <v>180</v>
      </c>
      <c r="H20" s="23" t="s">
        <v>181</v>
      </c>
      <c r="I20" s="18" t="s">
        <v>182</v>
      </c>
      <c r="J20" s="7"/>
    </row>
    <row r="21" spans="1:10" ht="13.2" x14ac:dyDescent="0.25">
      <c r="A21" s="32" t="s">
        <v>24</v>
      </c>
      <c r="B21" s="32">
        <v>1</v>
      </c>
      <c r="C21" s="32" t="s">
        <v>25</v>
      </c>
      <c r="D21" s="36">
        <v>3000</v>
      </c>
      <c r="E21" s="46">
        <f t="shared" ref="E21:E31" si="1">D21/220</f>
        <v>13.636363636363637</v>
      </c>
      <c r="F21" s="72">
        <v>1.5</v>
      </c>
      <c r="G21" s="47">
        <v>1.5</v>
      </c>
      <c r="H21" s="47">
        <v>1.5</v>
      </c>
      <c r="I21" s="47">
        <v>15</v>
      </c>
    </row>
    <row r="22" spans="1:10" ht="13.2" x14ac:dyDescent="0.25">
      <c r="A22" s="32" t="s">
        <v>24</v>
      </c>
      <c r="B22" s="32">
        <v>1</v>
      </c>
      <c r="C22" s="32" t="s">
        <v>26</v>
      </c>
      <c r="D22" s="36">
        <v>3000</v>
      </c>
      <c r="E22" s="46">
        <f t="shared" si="1"/>
        <v>13.636363636363637</v>
      </c>
      <c r="F22" s="72">
        <v>1.5</v>
      </c>
      <c r="G22" s="47">
        <v>1.5</v>
      </c>
      <c r="H22" s="47">
        <v>1.5</v>
      </c>
      <c r="I22" s="47">
        <v>15</v>
      </c>
    </row>
    <row r="23" spans="1:10" ht="13.2" x14ac:dyDescent="0.25">
      <c r="A23" s="32" t="s">
        <v>24</v>
      </c>
      <c r="B23" s="32">
        <v>1</v>
      </c>
      <c r="C23" s="32" t="s">
        <v>27</v>
      </c>
      <c r="D23" s="36">
        <v>3000</v>
      </c>
      <c r="E23" s="46">
        <f t="shared" si="1"/>
        <v>13.636363636363637</v>
      </c>
      <c r="F23" s="72">
        <v>1.5</v>
      </c>
      <c r="G23" s="47">
        <v>1.5</v>
      </c>
      <c r="H23" s="47">
        <v>1.5</v>
      </c>
      <c r="I23" s="47">
        <v>15</v>
      </c>
    </row>
    <row r="24" spans="1:10" ht="13.2" x14ac:dyDescent="0.25">
      <c r="A24" s="32" t="s">
        <v>24</v>
      </c>
      <c r="B24" s="32">
        <v>1</v>
      </c>
      <c r="C24" s="32" t="s">
        <v>28</v>
      </c>
      <c r="D24" s="36">
        <v>3000</v>
      </c>
      <c r="E24" s="46">
        <f t="shared" si="1"/>
        <v>13.636363636363637</v>
      </c>
      <c r="F24" s="72">
        <v>1.5</v>
      </c>
      <c r="G24" s="47">
        <v>1.5</v>
      </c>
      <c r="H24" s="47">
        <v>1.5</v>
      </c>
      <c r="I24" s="47">
        <v>15</v>
      </c>
    </row>
    <row r="25" spans="1:10" ht="13.2" x14ac:dyDescent="0.25">
      <c r="A25" s="32" t="s">
        <v>24</v>
      </c>
      <c r="B25" s="32">
        <v>1</v>
      </c>
      <c r="C25" s="32" t="s">
        <v>29</v>
      </c>
      <c r="D25" s="36">
        <v>3000</v>
      </c>
      <c r="E25" s="46">
        <f t="shared" si="1"/>
        <v>13.636363636363637</v>
      </c>
      <c r="F25" s="72">
        <v>1.5</v>
      </c>
      <c r="G25" s="47">
        <v>1.5</v>
      </c>
      <c r="H25" s="47">
        <v>1.5</v>
      </c>
      <c r="I25" s="47">
        <v>15</v>
      </c>
    </row>
    <row r="26" spans="1:10" ht="13.2" x14ac:dyDescent="0.25">
      <c r="A26" s="32" t="s">
        <v>30</v>
      </c>
      <c r="B26" s="32">
        <v>3</v>
      </c>
      <c r="C26" s="32" t="s">
        <v>31</v>
      </c>
      <c r="D26" s="36">
        <v>1350</v>
      </c>
      <c r="E26" s="46">
        <f t="shared" si="1"/>
        <v>6.1363636363636367</v>
      </c>
      <c r="F26" s="72">
        <v>1.5</v>
      </c>
      <c r="G26" s="47">
        <v>1.5</v>
      </c>
      <c r="H26" s="47">
        <v>1.5</v>
      </c>
      <c r="I26" s="47">
        <v>10</v>
      </c>
    </row>
    <row r="27" spans="1:10" ht="13.2" x14ac:dyDescent="0.25">
      <c r="A27" s="32" t="s">
        <v>30</v>
      </c>
      <c r="B27" s="32">
        <v>2</v>
      </c>
      <c r="C27" s="32" t="s">
        <v>32</v>
      </c>
      <c r="D27" s="36">
        <v>900</v>
      </c>
      <c r="E27" s="46">
        <f t="shared" si="1"/>
        <v>4.0909090909090908</v>
      </c>
      <c r="F27" s="72">
        <v>1.5</v>
      </c>
      <c r="G27" s="47">
        <v>1.5</v>
      </c>
      <c r="H27" s="47">
        <v>1.5</v>
      </c>
      <c r="I27" s="47">
        <v>6</v>
      </c>
    </row>
    <row r="28" spans="1:10" ht="13.2" x14ac:dyDescent="0.25">
      <c r="A28" s="32" t="s">
        <v>17</v>
      </c>
      <c r="B28" s="32">
        <v>1</v>
      </c>
      <c r="C28" s="32" t="s">
        <v>33</v>
      </c>
      <c r="D28" s="36">
        <v>2200</v>
      </c>
      <c r="E28" s="46">
        <f t="shared" si="1"/>
        <v>10</v>
      </c>
      <c r="F28" s="72">
        <v>1.5</v>
      </c>
      <c r="G28" s="47">
        <v>1.5</v>
      </c>
      <c r="H28" s="47">
        <v>1.5</v>
      </c>
      <c r="I28" s="47">
        <v>12</v>
      </c>
    </row>
    <row r="29" spans="1:10" ht="13.2" x14ac:dyDescent="0.25">
      <c r="A29" s="32" t="s">
        <v>17</v>
      </c>
      <c r="B29" s="32">
        <v>1</v>
      </c>
      <c r="C29" s="32" t="s">
        <v>34</v>
      </c>
      <c r="D29" s="36">
        <v>2200</v>
      </c>
      <c r="E29" s="46">
        <f t="shared" si="1"/>
        <v>10</v>
      </c>
      <c r="F29" s="72">
        <v>1.5</v>
      </c>
      <c r="G29" s="47">
        <v>1.5</v>
      </c>
      <c r="H29" s="47">
        <v>1.5</v>
      </c>
      <c r="I29" s="47">
        <v>12</v>
      </c>
    </row>
    <row r="30" spans="1:10" ht="13.2" x14ac:dyDescent="0.25">
      <c r="A30" s="32" t="s">
        <v>17</v>
      </c>
      <c r="B30" s="32">
        <v>1</v>
      </c>
      <c r="C30" s="32" t="s">
        <v>35</v>
      </c>
      <c r="D30" s="36">
        <v>2200</v>
      </c>
      <c r="E30" s="46">
        <f t="shared" si="1"/>
        <v>10</v>
      </c>
      <c r="F30" s="72">
        <v>1.5</v>
      </c>
      <c r="G30" s="47">
        <v>1.5</v>
      </c>
      <c r="H30" s="47">
        <v>1.5</v>
      </c>
      <c r="I30" s="47">
        <v>12</v>
      </c>
    </row>
    <row r="31" spans="1:10" ht="13.2" x14ac:dyDescent="0.25">
      <c r="A31" s="32" t="s">
        <v>17</v>
      </c>
      <c r="B31" s="32">
        <v>1</v>
      </c>
      <c r="C31" s="32" t="s">
        <v>36</v>
      </c>
      <c r="D31" s="36">
        <v>2200</v>
      </c>
      <c r="E31" s="46">
        <f t="shared" si="1"/>
        <v>10</v>
      </c>
      <c r="F31" s="72">
        <v>1.5</v>
      </c>
      <c r="G31" s="47">
        <v>1.5</v>
      </c>
      <c r="H31" s="47">
        <v>1.5</v>
      </c>
      <c r="I31" s="47">
        <v>12</v>
      </c>
    </row>
    <row r="32" spans="1:10" ht="13.2" x14ac:dyDescent="0.25">
      <c r="A32" s="4"/>
      <c r="B32" s="4"/>
      <c r="C32" s="48" t="s">
        <v>230</v>
      </c>
      <c r="D32" s="49">
        <f>SUM(D21:D31)</f>
        <v>26050</v>
      </c>
      <c r="E32" s="49">
        <f>SUM(E21:E31)</f>
        <v>118.40909090909092</v>
      </c>
      <c r="F32" s="16"/>
      <c r="G32" s="16"/>
      <c r="H32" s="16"/>
    </row>
    <row r="33" spans="1:10" ht="13.2" x14ac:dyDescent="0.25">
      <c r="A33" s="4"/>
      <c r="B33" s="4"/>
      <c r="C33" s="56"/>
      <c r="D33" s="57"/>
      <c r="E33" s="57"/>
      <c r="F33" s="16"/>
      <c r="G33" s="16"/>
      <c r="H33" s="16"/>
    </row>
    <row r="34" spans="1:10" ht="13.2" x14ac:dyDescent="0.25">
      <c r="A34" s="55" t="s">
        <v>218</v>
      </c>
      <c r="B34" s="4"/>
      <c r="C34" s="4"/>
      <c r="D34" s="6"/>
      <c r="E34" s="7"/>
      <c r="F34" s="16"/>
      <c r="G34" s="16"/>
      <c r="H34" s="16"/>
    </row>
    <row r="35" spans="1:10" ht="13.2" x14ac:dyDescent="0.25">
      <c r="A35" s="1" t="s">
        <v>37</v>
      </c>
      <c r="B35" s="1" t="s">
        <v>1</v>
      </c>
      <c r="C35" s="2" t="s">
        <v>2</v>
      </c>
      <c r="D35" s="2" t="s">
        <v>3</v>
      </c>
      <c r="E35" s="3" t="s">
        <v>4</v>
      </c>
      <c r="F35" s="22" t="s">
        <v>179</v>
      </c>
      <c r="G35" s="18" t="s">
        <v>180</v>
      </c>
      <c r="H35" s="23" t="s">
        <v>181</v>
      </c>
      <c r="I35" s="18" t="s">
        <v>182</v>
      </c>
      <c r="J35" s="7"/>
    </row>
    <row r="36" spans="1:10" ht="13.2" x14ac:dyDescent="0.25">
      <c r="A36" s="32" t="s">
        <v>38</v>
      </c>
      <c r="B36" s="32">
        <v>2</v>
      </c>
      <c r="C36" s="32" t="s">
        <v>39</v>
      </c>
      <c r="D36" s="36">
        <v>1140</v>
      </c>
      <c r="E36" s="46">
        <f t="shared" ref="E36:E65" si="2">D36/220</f>
        <v>5.1818181818181817</v>
      </c>
      <c r="F36" s="39">
        <v>1.5</v>
      </c>
      <c r="G36" s="47">
        <v>1.5</v>
      </c>
      <c r="H36" s="47">
        <v>1.5</v>
      </c>
      <c r="I36" s="47">
        <v>6</v>
      </c>
    </row>
    <row r="37" spans="1:10" ht="13.2" x14ac:dyDescent="0.25">
      <c r="A37" s="32" t="s">
        <v>40</v>
      </c>
      <c r="B37" s="32">
        <v>1</v>
      </c>
      <c r="C37" s="32" t="s">
        <v>41</v>
      </c>
      <c r="D37" s="36">
        <v>9000</v>
      </c>
      <c r="E37" s="46">
        <f t="shared" si="2"/>
        <v>40.909090909090907</v>
      </c>
      <c r="F37" s="39">
        <v>6</v>
      </c>
      <c r="G37" s="47">
        <v>6</v>
      </c>
      <c r="H37" s="47">
        <v>6</v>
      </c>
      <c r="I37" s="47">
        <v>50</v>
      </c>
    </row>
    <row r="38" spans="1:10" ht="13.2" x14ac:dyDescent="0.25">
      <c r="A38" s="32" t="s">
        <v>40</v>
      </c>
      <c r="B38" s="32">
        <v>1</v>
      </c>
      <c r="C38" s="32" t="s">
        <v>42</v>
      </c>
      <c r="D38" s="36">
        <v>9000</v>
      </c>
      <c r="E38" s="46">
        <f t="shared" si="2"/>
        <v>40.909090909090907</v>
      </c>
      <c r="F38" s="39">
        <v>1.5</v>
      </c>
      <c r="G38" s="47">
        <v>1.5</v>
      </c>
      <c r="H38" s="47">
        <v>1.5</v>
      </c>
      <c r="I38" s="47">
        <v>50</v>
      </c>
    </row>
    <row r="39" spans="1:10" ht="13.2" x14ac:dyDescent="0.25">
      <c r="A39" s="32" t="s">
        <v>40</v>
      </c>
      <c r="B39" s="32">
        <v>1</v>
      </c>
      <c r="C39" s="32" t="s">
        <v>43</v>
      </c>
      <c r="D39" s="36">
        <v>9000</v>
      </c>
      <c r="E39" s="46">
        <f t="shared" si="2"/>
        <v>40.909090909090907</v>
      </c>
      <c r="F39" s="39">
        <v>1.5</v>
      </c>
      <c r="G39" s="47">
        <v>1.5</v>
      </c>
      <c r="H39" s="47">
        <v>1.5</v>
      </c>
      <c r="I39" s="47">
        <v>50</v>
      </c>
    </row>
    <row r="40" spans="1:10" ht="13.2" x14ac:dyDescent="0.25">
      <c r="A40" s="32" t="s">
        <v>40</v>
      </c>
      <c r="B40" s="32">
        <v>1</v>
      </c>
      <c r="C40" s="32" t="s">
        <v>44</v>
      </c>
      <c r="D40" s="36">
        <v>9000</v>
      </c>
      <c r="E40" s="46">
        <f t="shared" si="2"/>
        <v>40.909090909090907</v>
      </c>
      <c r="F40" s="39">
        <v>2.5</v>
      </c>
      <c r="G40" s="47">
        <v>2.5</v>
      </c>
      <c r="H40" s="47">
        <v>2.5</v>
      </c>
      <c r="I40" s="47">
        <v>50</v>
      </c>
    </row>
    <row r="41" spans="1:10" ht="13.2" x14ac:dyDescent="0.25">
      <c r="A41" s="32" t="s">
        <v>45</v>
      </c>
      <c r="B41" s="32">
        <v>1</v>
      </c>
      <c r="C41" s="32" t="s">
        <v>46</v>
      </c>
      <c r="D41" s="36">
        <v>4000</v>
      </c>
      <c r="E41" s="46">
        <f t="shared" si="2"/>
        <v>18.181818181818183</v>
      </c>
      <c r="F41" s="39">
        <v>1.5</v>
      </c>
      <c r="G41" s="47">
        <v>1.5</v>
      </c>
      <c r="H41" s="47">
        <v>1.5</v>
      </c>
      <c r="I41" s="47">
        <v>20</v>
      </c>
    </row>
    <row r="42" spans="1:10" ht="13.2" x14ac:dyDescent="0.25">
      <c r="A42" s="32" t="s">
        <v>45</v>
      </c>
      <c r="B42" s="32">
        <v>1</v>
      </c>
      <c r="C42" s="32" t="s">
        <v>47</v>
      </c>
      <c r="D42" s="36">
        <v>4000</v>
      </c>
      <c r="E42" s="46">
        <f t="shared" si="2"/>
        <v>18.181818181818183</v>
      </c>
      <c r="F42" s="39">
        <v>2.5</v>
      </c>
      <c r="G42" s="47">
        <v>2.5</v>
      </c>
      <c r="H42" s="47">
        <v>2.5</v>
      </c>
      <c r="I42" s="47">
        <v>20</v>
      </c>
    </row>
    <row r="43" spans="1:10" ht="13.2" x14ac:dyDescent="0.25">
      <c r="A43" s="32" t="s">
        <v>45</v>
      </c>
      <c r="B43" s="32">
        <v>1</v>
      </c>
      <c r="C43" s="32" t="s">
        <v>48</v>
      </c>
      <c r="D43" s="36">
        <v>4000</v>
      </c>
      <c r="E43" s="46">
        <f t="shared" si="2"/>
        <v>18.181818181818183</v>
      </c>
      <c r="F43" s="39">
        <v>2.5</v>
      </c>
      <c r="G43" s="47">
        <v>2.5</v>
      </c>
      <c r="H43" s="47">
        <v>2.5</v>
      </c>
      <c r="I43" s="47">
        <v>20</v>
      </c>
    </row>
    <row r="44" spans="1:10" ht="13.2" x14ac:dyDescent="0.25">
      <c r="A44" s="32" t="s">
        <v>45</v>
      </c>
      <c r="B44" s="32">
        <v>1</v>
      </c>
      <c r="C44" s="32" t="s">
        <v>49</v>
      </c>
      <c r="D44" s="36">
        <v>4000</v>
      </c>
      <c r="E44" s="46">
        <f t="shared" si="2"/>
        <v>18.181818181818183</v>
      </c>
      <c r="F44" s="39">
        <v>2.5</v>
      </c>
      <c r="G44" s="47">
        <v>2.5</v>
      </c>
      <c r="H44" s="47">
        <v>2.5</v>
      </c>
      <c r="I44" s="47">
        <v>20</v>
      </c>
    </row>
    <row r="45" spans="1:10" ht="13.2" x14ac:dyDescent="0.25">
      <c r="A45" s="32" t="s">
        <v>50</v>
      </c>
      <c r="B45" s="32">
        <v>1</v>
      </c>
      <c r="C45" s="32" t="s">
        <v>51</v>
      </c>
      <c r="D45" s="36">
        <v>70000</v>
      </c>
      <c r="E45" s="46">
        <f t="shared" si="2"/>
        <v>318.18181818181819</v>
      </c>
      <c r="F45" s="39">
        <v>35</v>
      </c>
      <c r="G45" s="47">
        <v>25</v>
      </c>
      <c r="H45" s="47">
        <v>25</v>
      </c>
      <c r="I45" s="47">
        <v>320</v>
      </c>
    </row>
    <row r="46" spans="1:10" ht="13.2" x14ac:dyDescent="0.25">
      <c r="A46" s="32" t="s">
        <v>52</v>
      </c>
      <c r="B46" s="32">
        <v>5</v>
      </c>
      <c r="C46" s="32" t="s">
        <v>53</v>
      </c>
      <c r="D46" s="36">
        <v>1080</v>
      </c>
      <c r="E46" s="46">
        <f t="shared" si="2"/>
        <v>4.9090909090909092</v>
      </c>
      <c r="F46" s="39">
        <v>1.5</v>
      </c>
      <c r="G46" s="47">
        <v>1.5</v>
      </c>
      <c r="H46" s="47">
        <v>1.5</v>
      </c>
      <c r="I46" s="47">
        <v>6</v>
      </c>
    </row>
    <row r="47" spans="1:10" ht="13.2" x14ac:dyDescent="0.25">
      <c r="A47" s="32" t="s">
        <v>52</v>
      </c>
      <c r="B47" s="32">
        <v>2</v>
      </c>
      <c r="C47" s="32" t="s">
        <v>54</v>
      </c>
      <c r="D47" s="36">
        <v>720</v>
      </c>
      <c r="E47" s="46">
        <f t="shared" si="2"/>
        <v>3.2727272727272729</v>
      </c>
      <c r="F47" s="39">
        <v>1.5</v>
      </c>
      <c r="G47" s="47">
        <v>1.5</v>
      </c>
      <c r="H47" s="47">
        <v>1.5</v>
      </c>
      <c r="I47" s="47">
        <v>6</v>
      </c>
    </row>
    <row r="48" spans="1:10" ht="13.2" x14ac:dyDescent="0.25">
      <c r="A48" s="32" t="s">
        <v>55</v>
      </c>
      <c r="B48" s="32">
        <v>3</v>
      </c>
      <c r="C48" s="32" t="s">
        <v>56</v>
      </c>
      <c r="D48" s="32">
        <v>2400</v>
      </c>
      <c r="E48" s="46">
        <f t="shared" si="2"/>
        <v>10.909090909090908</v>
      </c>
      <c r="F48" s="39">
        <v>1.5</v>
      </c>
      <c r="G48" s="47">
        <v>1.5</v>
      </c>
      <c r="H48" s="47">
        <v>1.5</v>
      </c>
      <c r="I48" s="47">
        <v>12</v>
      </c>
    </row>
    <row r="49" spans="1:9" ht="13.2" x14ac:dyDescent="0.25">
      <c r="A49" s="32" t="s">
        <v>55</v>
      </c>
      <c r="B49" s="32">
        <v>2</v>
      </c>
      <c r="C49" s="32" t="s">
        <v>57</v>
      </c>
      <c r="D49" s="32">
        <v>1600</v>
      </c>
      <c r="E49" s="46">
        <f t="shared" si="2"/>
        <v>7.2727272727272725</v>
      </c>
      <c r="F49" s="39">
        <v>1.5</v>
      </c>
      <c r="G49" s="47">
        <v>1.5</v>
      </c>
      <c r="H49" s="47">
        <v>1.5</v>
      </c>
      <c r="I49" s="47">
        <v>10</v>
      </c>
    </row>
    <row r="50" spans="1:9" ht="13.2" x14ac:dyDescent="0.25">
      <c r="A50" s="32" t="s">
        <v>58</v>
      </c>
      <c r="B50" s="32">
        <v>5</v>
      </c>
      <c r="C50" s="32" t="s">
        <v>59</v>
      </c>
      <c r="D50" s="36">
        <v>1000</v>
      </c>
      <c r="E50" s="46">
        <f t="shared" si="2"/>
        <v>4.5454545454545459</v>
      </c>
      <c r="F50" s="39">
        <v>1.5</v>
      </c>
      <c r="G50" s="47">
        <v>1.5</v>
      </c>
      <c r="H50" s="47">
        <v>1.5</v>
      </c>
      <c r="I50" s="47">
        <v>6</v>
      </c>
    </row>
    <row r="51" spans="1:9" ht="13.2" x14ac:dyDescent="0.25">
      <c r="A51" s="32" t="s">
        <v>60</v>
      </c>
      <c r="B51" s="32">
        <v>1</v>
      </c>
      <c r="C51" s="32" t="s">
        <v>61</v>
      </c>
      <c r="D51" s="36">
        <v>1000</v>
      </c>
      <c r="E51" s="46">
        <f t="shared" si="2"/>
        <v>4.5454545454545459</v>
      </c>
      <c r="F51" s="39">
        <v>1.5</v>
      </c>
      <c r="G51" s="47">
        <v>1.5</v>
      </c>
      <c r="H51" s="47">
        <v>1.5</v>
      </c>
      <c r="I51" s="47">
        <v>6</v>
      </c>
    </row>
    <row r="52" spans="1:9" ht="13.2" x14ac:dyDescent="0.25">
      <c r="A52" s="32" t="s">
        <v>60</v>
      </c>
      <c r="B52" s="32">
        <v>1</v>
      </c>
      <c r="C52" s="32" t="s">
        <v>62</v>
      </c>
      <c r="D52" s="36">
        <v>1000</v>
      </c>
      <c r="E52" s="46">
        <f t="shared" si="2"/>
        <v>4.5454545454545459</v>
      </c>
      <c r="F52" s="39">
        <v>1.5</v>
      </c>
      <c r="G52" s="47">
        <v>1.5</v>
      </c>
      <c r="H52" s="47">
        <v>1.5</v>
      </c>
      <c r="I52" s="47">
        <v>6</v>
      </c>
    </row>
    <row r="53" spans="1:9" ht="13.2" x14ac:dyDescent="0.25">
      <c r="A53" s="32" t="s">
        <v>60</v>
      </c>
      <c r="B53" s="32">
        <v>1</v>
      </c>
      <c r="C53" s="32" t="s">
        <v>63</v>
      </c>
      <c r="D53" s="36">
        <v>1000</v>
      </c>
      <c r="E53" s="46">
        <f t="shared" si="2"/>
        <v>4.5454545454545459</v>
      </c>
      <c r="F53" s="39">
        <v>1.5</v>
      </c>
      <c r="G53" s="47">
        <v>1.5</v>
      </c>
      <c r="H53" s="47">
        <v>1.5</v>
      </c>
      <c r="I53" s="47">
        <v>6</v>
      </c>
    </row>
    <row r="54" spans="1:9" ht="13.2" x14ac:dyDescent="0.25">
      <c r="A54" s="32" t="s">
        <v>64</v>
      </c>
      <c r="B54" s="32">
        <v>3</v>
      </c>
      <c r="C54" s="32" t="s">
        <v>65</v>
      </c>
      <c r="D54" s="36">
        <v>1380</v>
      </c>
      <c r="E54" s="46">
        <f t="shared" si="2"/>
        <v>6.2727272727272725</v>
      </c>
      <c r="F54" s="39">
        <v>1.5</v>
      </c>
      <c r="G54" s="47">
        <v>1.5</v>
      </c>
      <c r="H54" s="47">
        <v>1.5</v>
      </c>
      <c r="I54" s="47">
        <v>10</v>
      </c>
    </row>
    <row r="55" spans="1:9" ht="13.2" x14ac:dyDescent="0.25">
      <c r="A55" s="32" t="s">
        <v>64</v>
      </c>
      <c r="B55" s="32">
        <v>2</v>
      </c>
      <c r="C55" s="32" t="s">
        <v>66</v>
      </c>
      <c r="D55" s="36">
        <v>920</v>
      </c>
      <c r="E55" s="46">
        <f t="shared" si="2"/>
        <v>4.1818181818181817</v>
      </c>
      <c r="F55" s="39">
        <v>1.5</v>
      </c>
      <c r="G55" s="47">
        <v>1.5</v>
      </c>
      <c r="H55" s="47">
        <v>1.5</v>
      </c>
      <c r="I55" s="47">
        <v>6</v>
      </c>
    </row>
    <row r="56" spans="1:9" ht="13.2" x14ac:dyDescent="0.25">
      <c r="A56" s="32" t="s">
        <v>67</v>
      </c>
      <c r="B56" s="32">
        <v>4</v>
      </c>
      <c r="C56" s="32" t="s">
        <v>68</v>
      </c>
      <c r="D56" s="32">
        <v>740</v>
      </c>
      <c r="E56" s="46">
        <f t="shared" si="2"/>
        <v>3.3636363636363638</v>
      </c>
      <c r="F56" s="39">
        <v>1.5</v>
      </c>
      <c r="G56" s="47">
        <v>1.5</v>
      </c>
      <c r="H56" s="47">
        <v>1.5</v>
      </c>
      <c r="I56" s="47">
        <v>6</v>
      </c>
    </row>
    <row r="57" spans="1:9" ht="13.2" x14ac:dyDescent="0.25">
      <c r="A57" s="32" t="s">
        <v>69</v>
      </c>
      <c r="B57" s="32">
        <v>1</v>
      </c>
      <c r="C57" s="32" t="s">
        <v>70</v>
      </c>
      <c r="D57" s="36">
        <v>2184</v>
      </c>
      <c r="E57" s="46">
        <f t="shared" si="2"/>
        <v>9.9272727272727277</v>
      </c>
      <c r="F57" s="39">
        <v>1.5</v>
      </c>
      <c r="G57" s="47">
        <v>1.5</v>
      </c>
      <c r="H57" s="47">
        <v>1.5</v>
      </c>
      <c r="I57" s="47">
        <v>12</v>
      </c>
    </row>
    <row r="58" spans="1:9" ht="13.2" x14ac:dyDescent="0.25">
      <c r="A58" s="32" t="s">
        <v>69</v>
      </c>
      <c r="B58" s="32">
        <v>1</v>
      </c>
      <c r="C58" s="32" t="s">
        <v>71</v>
      </c>
      <c r="D58" s="36">
        <v>2184</v>
      </c>
      <c r="E58" s="46">
        <f t="shared" si="2"/>
        <v>9.9272727272727277</v>
      </c>
      <c r="F58" s="39">
        <v>1.5</v>
      </c>
      <c r="G58" s="47">
        <v>1.5</v>
      </c>
      <c r="H58" s="47">
        <v>1.5</v>
      </c>
      <c r="I58" s="47">
        <v>12</v>
      </c>
    </row>
    <row r="59" spans="1:9" ht="13.2" x14ac:dyDescent="0.25">
      <c r="A59" s="32" t="s">
        <v>72</v>
      </c>
      <c r="B59" s="32">
        <v>1</v>
      </c>
      <c r="C59" s="32" t="s">
        <v>73</v>
      </c>
      <c r="D59" s="36">
        <v>2200</v>
      </c>
      <c r="E59" s="46">
        <f t="shared" si="2"/>
        <v>10</v>
      </c>
      <c r="F59" s="39">
        <v>1.5</v>
      </c>
      <c r="G59" s="47">
        <v>1.5</v>
      </c>
      <c r="H59" s="47">
        <v>1.5</v>
      </c>
      <c r="I59" s="47">
        <v>12</v>
      </c>
    </row>
    <row r="60" spans="1:9" ht="13.2" x14ac:dyDescent="0.25">
      <c r="A60" s="32" t="s">
        <v>72</v>
      </c>
      <c r="B60" s="32">
        <v>1</v>
      </c>
      <c r="C60" s="32" t="s">
        <v>74</v>
      </c>
      <c r="D60" s="36">
        <v>2200</v>
      </c>
      <c r="E60" s="46">
        <f t="shared" si="2"/>
        <v>10</v>
      </c>
      <c r="F60" s="39">
        <v>1.5</v>
      </c>
      <c r="G60" s="47">
        <v>1.5</v>
      </c>
      <c r="H60" s="47">
        <v>1.5</v>
      </c>
      <c r="I60" s="47">
        <v>12</v>
      </c>
    </row>
    <row r="61" spans="1:9" ht="13.2" x14ac:dyDescent="0.25">
      <c r="A61" s="32" t="s">
        <v>72</v>
      </c>
      <c r="B61" s="32">
        <v>1</v>
      </c>
      <c r="C61" s="32" t="s">
        <v>75</v>
      </c>
      <c r="D61" s="36">
        <v>2200</v>
      </c>
      <c r="E61" s="46">
        <f t="shared" si="2"/>
        <v>10</v>
      </c>
      <c r="F61" s="39">
        <v>1.5</v>
      </c>
      <c r="G61" s="47">
        <v>1.5</v>
      </c>
      <c r="H61" s="47">
        <v>1.5</v>
      </c>
      <c r="I61" s="47">
        <v>12</v>
      </c>
    </row>
    <row r="62" spans="1:9" ht="13.2" x14ac:dyDescent="0.25">
      <c r="A62" s="32" t="s">
        <v>72</v>
      </c>
      <c r="B62" s="32">
        <v>1</v>
      </c>
      <c r="C62" s="32" t="s">
        <v>76</v>
      </c>
      <c r="D62" s="36">
        <v>2200</v>
      </c>
      <c r="E62" s="46">
        <f t="shared" si="2"/>
        <v>10</v>
      </c>
      <c r="F62" s="39">
        <v>1.5</v>
      </c>
      <c r="G62" s="47">
        <v>1.5</v>
      </c>
      <c r="H62" s="47">
        <v>1.5</v>
      </c>
      <c r="I62" s="47">
        <v>12</v>
      </c>
    </row>
    <row r="63" spans="1:9" ht="13.2" x14ac:dyDescent="0.25">
      <c r="A63" s="32" t="s">
        <v>72</v>
      </c>
      <c r="B63" s="32">
        <v>1</v>
      </c>
      <c r="C63" s="32" t="s">
        <v>77</v>
      </c>
      <c r="D63" s="36">
        <v>2200</v>
      </c>
      <c r="E63" s="46">
        <f t="shared" si="2"/>
        <v>10</v>
      </c>
      <c r="F63" s="39">
        <v>1.5</v>
      </c>
      <c r="G63" s="47">
        <v>1.5</v>
      </c>
      <c r="H63" s="47">
        <v>1.5</v>
      </c>
      <c r="I63" s="47">
        <v>12</v>
      </c>
    </row>
    <row r="64" spans="1:9" ht="13.2" x14ac:dyDescent="0.25">
      <c r="A64" s="32" t="s">
        <v>72</v>
      </c>
      <c r="B64" s="32">
        <v>1</v>
      </c>
      <c r="C64" s="32" t="s">
        <v>78</v>
      </c>
      <c r="D64" s="36">
        <v>2200</v>
      </c>
      <c r="E64" s="46">
        <f t="shared" si="2"/>
        <v>10</v>
      </c>
      <c r="F64" s="39">
        <v>1.5</v>
      </c>
      <c r="G64" s="47">
        <v>1.5</v>
      </c>
      <c r="H64" s="47">
        <v>1.5</v>
      </c>
      <c r="I64" s="47">
        <v>12</v>
      </c>
    </row>
    <row r="65" spans="1:10" ht="13.2" x14ac:dyDescent="0.25">
      <c r="A65" s="32" t="s">
        <v>72</v>
      </c>
      <c r="B65" s="32">
        <v>1</v>
      </c>
      <c r="C65" s="32" t="s">
        <v>79</v>
      </c>
      <c r="D65" s="36">
        <v>2200</v>
      </c>
      <c r="E65" s="46">
        <f t="shared" si="2"/>
        <v>10</v>
      </c>
      <c r="F65" s="39">
        <v>1.5</v>
      </c>
      <c r="G65" s="47">
        <v>1.5</v>
      </c>
      <c r="H65" s="47">
        <v>1.5</v>
      </c>
      <c r="I65" s="47">
        <v>12</v>
      </c>
    </row>
    <row r="66" spans="1:10" ht="13.2" x14ac:dyDescent="0.25">
      <c r="A66" s="4"/>
      <c r="B66" s="4"/>
      <c r="C66" s="48" t="s">
        <v>230</v>
      </c>
      <c r="D66" s="49">
        <f>SUM(D36:D65)</f>
        <v>155748</v>
      </c>
      <c r="E66" s="49">
        <f>SUM(E36:E65)</f>
        <v>707.94545454545414</v>
      </c>
      <c r="F66" s="16"/>
      <c r="G66" s="16"/>
      <c r="H66" s="16"/>
    </row>
    <row r="67" spans="1:10" ht="13.2" x14ac:dyDescent="0.25">
      <c r="A67" s="4"/>
      <c r="B67" s="4"/>
      <c r="C67" s="56"/>
      <c r="D67" s="57"/>
      <c r="E67" s="57"/>
      <c r="F67" s="16"/>
      <c r="G67" s="16"/>
      <c r="H67" s="16"/>
    </row>
    <row r="68" spans="1:10" ht="13.2" x14ac:dyDescent="0.25">
      <c r="A68" s="55" t="s">
        <v>215</v>
      </c>
      <c r="B68" s="4"/>
      <c r="C68" s="4"/>
      <c r="D68" s="6"/>
      <c r="E68" s="7"/>
      <c r="F68" s="16"/>
      <c r="G68" s="16"/>
      <c r="H68" s="16"/>
    </row>
    <row r="69" spans="1:10" ht="13.2" x14ac:dyDescent="0.25">
      <c r="A69" s="1" t="s">
        <v>80</v>
      </c>
      <c r="B69" s="1" t="s">
        <v>1</v>
      </c>
      <c r="C69" s="2" t="s">
        <v>2</v>
      </c>
      <c r="D69" s="2" t="s">
        <v>3</v>
      </c>
      <c r="E69" s="3" t="s">
        <v>4</v>
      </c>
      <c r="F69" s="22" t="s">
        <v>179</v>
      </c>
      <c r="G69" s="18" t="s">
        <v>180</v>
      </c>
      <c r="H69" s="23" t="s">
        <v>181</v>
      </c>
      <c r="I69" s="18" t="s">
        <v>182</v>
      </c>
      <c r="J69" s="7"/>
    </row>
    <row r="70" spans="1:10" ht="13.2" x14ac:dyDescent="0.25">
      <c r="A70" s="32" t="s">
        <v>81</v>
      </c>
      <c r="B70" s="32">
        <v>6</v>
      </c>
      <c r="C70" s="32" t="s">
        <v>82</v>
      </c>
      <c r="D70" s="32">
        <v>900</v>
      </c>
      <c r="E70" s="46">
        <f t="shared" ref="E70:E94" si="3">D70/220</f>
        <v>4.0909090909090908</v>
      </c>
      <c r="F70" s="39">
        <v>1.5</v>
      </c>
      <c r="G70" s="47">
        <v>1.5</v>
      </c>
      <c r="H70" s="47">
        <v>1.5</v>
      </c>
      <c r="I70" s="47">
        <v>6</v>
      </c>
    </row>
    <row r="71" spans="1:10" ht="13.2" x14ac:dyDescent="0.25">
      <c r="A71" s="32" t="s">
        <v>83</v>
      </c>
      <c r="B71" s="32">
        <v>1</v>
      </c>
      <c r="C71" s="32" t="s">
        <v>84</v>
      </c>
      <c r="D71" s="36">
        <v>10725</v>
      </c>
      <c r="E71" s="46">
        <f t="shared" si="3"/>
        <v>48.75</v>
      </c>
      <c r="F71" s="39">
        <v>16</v>
      </c>
      <c r="G71" s="47">
        <v>16</v>
      </c>
      <c r="H71" s="47">
        <v>16</v>
      </c>
      <c r="I71" s="47">
        <v>50</v>
      </c>
    </row>
    <row r="72" spans="1:10" ht="13.2" x14ac:dyDescent="0.25">
      <c r="A72" s="32" t="s">
        <v>83</v>
      </c>
      <c r="B72" s="32">
        <v>1</v>
      </c>
      <c r="C72" s="32" t="s">
        <v>85</v>
      </c>
      <c r="D72" s="36">
        <v>10725</v>
      </c>
      <c r="E72" s="46">
        <f t="shared" si="3"/>
        <v>48.75</v>
      </c>
      <c r="F72" s="39">
        <v>16</v>
      </c>
      <c r="G72" s="47">
        <v>16</v>
      </c>
      <c r="H72" s="47">
        <v>16</v>
      </c>
      <c r="I72" s="47">
        <v>50</v>
      </c>
    </row>
    <row r="73" spans="1:10" ht="13.2" x14ac:dyDescent="0.25">
      <c r="A73" s="32" t="s">
        <v>83</v>
      </c>
      <c r="B73" s="32">
        <v>1</v>
      </c>
      <c r="C73" s="32" t="s">
        <v>86</v>
      </c>
      <c r="D73" s="36">
        <v>10725</v>
      </c>
      <c r="E73" s="46">
        <f t="shared" si="3"/>
        <v>48.75</v>
      </c>
      <c r="F73" s="39">
        <v>16</v>
      </c>
      <c r="G73" s="47">
        <v>16</v>
      </c>
      <c r="H73" s="47">
        <v>16</v>
      </c>
      <c r="I73" s="47">
        <v>50</v>
      </c>
    </row>
    <row r="74" spans="1:10" ht="13.2" x14ac:dyDescent="0.25">
      <c r="A74" s="32" t="s">
        <v>83</v>
      </c>
      <c r="B74" s="32">
        <v>1</v>
      </c>
      <c r="C74" s="32" t="s">
        <v>87</v>
      </c>
      <c r="D74" s="36">
        <v>10725</v>
      </c>
      <c r="E74" s="46">
        <f t="shared" si="3"/>
        <v>48.75</v>
      </c>
      <c r="F74" s="39">
        <v>16</v>
      </c>
      <c r="G74" s="47">
        <v>16</v>
      </c>
      <c r="H74" s="47">
        <v>16</v>
      </c>
      <c r="I74" s="47">
        <v>50</v>
      </c>
    </row>
    <row r="75" spans="1:10" ht="13.2" x14ac:dyDescent="0.25">
      <c r="A75" s="32" t="s">
        <v>83</v>
      </c>
      <c r="B75" s="32">
        <v>1</v>
      </c>
      <c r="C75" s="32" t="s">
        <v>88</v>
      </c>
      <c r="D75" s="36">
        <v>10725</v>
      </c>
      <c r="E75" s="46">
        <f t="shared" si="3"/>
        <v>48.75</v>
      </c>
      <c r="F75" s="39">
        <v>16</v>
      </c>
      <c r="G75" s="47">
        <v>16</v>
      </c>
      <c r="H75" s="47">
        <v>16</v>
      </c>
      <c r="I75" s="47">
        <v>50</v>
      </c>
    </row>
    <row r="76" spans="1:10" ht="13.2" x14ac:dyDescent="0.25">
      <c r="A76" s="32" t="s">
        <v>83</v>
      </c>
      <c r="B76" s="32">
        <v>1</v>
      </c>
      <c r="C76" s="32" t="s">
        <v>89</v>
      </c>
      <c r="D76" s="36">
        <v>10725</v>
      </c>
      <c r="E76" s="46">
        <f t="shared" si="3"/>
        <v>48.75</v>
      </c>
      <c r="F76" s="39">
        <v>16</v>
      </c>
      <c r="G76" s="47">
        <v>16</v>
      </c>
      <c r="H76" s="47">
        <v>16</v>
      </c>
      <c r="I76" s="47">
        <v>50</v>
      </c>
    </row>
    <row r="77" spans="1:10" ht="13.2" x14ac:dyDescent="0.25">
      <c r="A77" s="32" t="s">
        <v>90</v>
      </c>
      <c r="B77" s="32">
        <v>1</v>
      </c>
      <c r="C77" s="32" t="s">
        <v>91</v>
      </c>
      <c r="D77" s="36">
        <v>1000</v>
      </c>
      <c r="E77" s="46">
        <f t="shared" si="3"/>
        <v>4.5454545454545459</v>
      </c>
      <c r="F77" s="39">
        <v>1.5</v>
      </c>
      <c r="G77" s="47">
        <v>1.5</v>
      </c>
      <c r="H77" s="47">
        <v>1.5</v>
      </c>
      <c r="I77" s="47">
        <v>6</v>
      </c>
    </row>
    <row r="78" spans="1:10" ht="13.2" x14ac:dyDescent="0.25">
      <c r="A78" s="32" t="s">
        <v>90</v>
      </c>
      <c r="B78" s="32">
        <v>1</v>
      </c>
      <c r="C78" s="32" t="s">
        <v>92</v>
      </c>
      <c r="D78" s="36">
        <v>1000</v>
      </c>
      <c r="E78" s="46">
        <f t="shared" si="3"/>
        <v>4.5454545454545459</v>
      </c>
      <c r="F78" s="39">
        <v>1.5</v>
      </c>
      <c r="G78" s="47">
        <v>1.5</v>
      </c>
      <c r="H78" s="47">
        <v>1.5</v>
      </c>
      <c r="I78" s="47">
        <v>6</v>
      </c>
    </row>
    <row r="79" spans="1:10" ht="13.2" x14ac:dyDescent="0.25">
      <c r="A79" s="32" t="s">
        <v>90</v>
      </c>
      <c r="B79" s="32">
        <v>1</v>
      </c>
      <c r="C79" s="32" t="s">
        <v>93</v>
      </c>
      <c r="D79" s="36">
        <v>1000</v>
      </c>
      <c r="E79" s="46">
        <f t="shared" si="3"/>
        <v>4.5454545454545459</v>
      </c>
      <c r="F79" s="39">
        <v>1.5</v>
      </c>
      <c r="G79" s="47">
        <v>1.5</v>
      </c>
      <c r="H79" s="47">
        <v>1.5</v>
      </c>
      <c r="I79" s="47">
        <v>6</v>
      </c>
    </row>
    <row r="80" spans="1:10" ht="13.2" x14ac:dyDescent="0.25">
      <c r="A80" s="32" t="s">
        <v>90</v>
      </c>
      <c r="B80" s="32">
        <v>1</v>
      </c>
      <c r="C80" s="32" t="s">
        <v>94</v>
      </c>
      <c r="D80" s="36">
        <v>1000</v>
      </c>
      <c r="E80" s="46">
        <f t="shared" si="3"/>
        <v>4.5454545454545459</v>
      </c>
      <c r="F80" s="39">
        <v>1.5</v>
      </c>
      <c r="G80" s="47">
        <v>1.5</v>
      </c>
      <c r="H80" s="47">
        <v>1.5</v>
      </c>
      <c r="I80" s="47">
        <v>6</v>
      </c>
    </row>
    <row r="81" spans="1:9" ht="13.2" x14ac:dyDescent="0.25">
      <c r="A81" s="32" t="s">
        <v>90</v>
      </c>
      <c r="B81" s="32">
        <v>1</v>
      </c>
      <c r="C81" s="32" t="s">
        <v>95</v>
      </c>
      <c r="D81" s="36">
        <v>1000</v>
      </c>
      <c r="E81" s="46">
        <f t="shared" si="3"/>
        <v>4.5454545454545459</v>
      </c>
      <c r="F81" s="39">
        <v>1.5</v>
      </c>
      <c r="G81" s="47">
        <v>1.5</v>
      </c>
      <c r="H81" s="47">
        <v>1.5</v>
      </c>
      <c r="I81" s="47">
        <v>6</v>
      </c>
    </row>
    <row r="82" spans="1:9" ht="13.2" x14ac:dyDescent="0.25">
      <c r="A82" s="32" t="s">
        <v>90</v>
      </c>
      <c r="B82" s="32">
        <v>1</v>
      </c>
      <c r="C82" s="32" t="s">
        <v>96</v>
      </c>
      <c r="D82" s="36">
        <v>1000</v>
      </c>
      <c r="E82" s="46">
        <f t="shared" si="3"/>
        <v>4.5454545454545459</v>
      </c>
      <c r="F82" s="39">
        <v>1.5</v>
      </c>
      <c r="G82" s="47">
        <v>1.5</v>
      </c>
      <c r="H82" s="47">
        <v>1.5</v>
      </c>
      <c r="I82" s="47">
        <v>6</v>
      </c>
    </row>
    <row r="83" spans="1:9" ht="13.2" x14ac:dyDescent="0.25">
      <c r="A83" s="32" t="s">
        <v>69</v>
      </c>
      <c r="B83" s="32">
        <v>1</v>
      </c>
      <c r="C83" s="32" t="s">
        <v>97</v>
      </c>
      <c r="D83" s="36">
        <v>2184</v>
      </c>
      <c r="E83" s="46">
        <f t="shared" si="3"/>
        <v>9.9272727272727277</v>
      </c>
      <c r="F83" s="39">
        <v>4</v>
      </c>
      <c r="G83" s="47">
        <v>4</v>
      </c>
      <c r="H83" s="47">
        <v>4</v>
      </c>
      <c r="I83" s="47">
        <v>12</v>
      </c>
    </row>
    <row r="84" spans="1:9" ht="13.2" x14ac:dyDescent="0.25">
      <c r="A84" s="32" t="s">
        <v>69</v>
      </c>
      <c r="B84" s="32">
        <v>1</v>
      </c>
      <c r="C84" s="32" t="s">
        <v>98</v>
      </c>
      <c r="D84" s="36">
        <v>2184</v>
      </c>
      <c r="E84" s="46">
        <f t="shared" si="3"/>
        <v>9.9272727272727277</v>
      </c>
      <c r="F84" s="39">
        <v>4</v>
      </c>
      <c r="G84" s="47">
        <v>4</v>
      </c>
      <c r="H84" s="47">
        <v>4</v>
      </c>
      <c r="I84" s="47">
        <v>12</v>
      </c>
    </row>
    <row r="85" spans="1:9" ht="13.2" x14ac:dyDescent="0.25">
      <c r="A85" s="32" t="s">
        <v>69</v>
      </c>
      <c r="B85" s="32">
        <v>1</v>
      </c>
      <c r="C85" s="32" t="s">
        <v>99</v>
      </c>
      <c r="D85" s="36">
        <v>2184</v>
      </c>
      <c r="E85" s="46">
        <f t="shared" si="3"/>
        <v>9.9272727272727277</v>
      </c>
      <c r="F85" s="39">
        <v>2.5</v>
      </c>
      <c r="G85" s="47">
        <v>2.5</v>
      </c>
      <c r="H85" s="47">
        <v>2.5</v>
      </c>
      <c r="I85" s="47">
        <v>12</v>
      </c>
    </row>
    <row r="86" spans="1:9" ht="13.2" x14ac:dyDescent="0.25">
      <c r="A86" s="32" t="s">
        <v>69</v>
      </c>
      <c r="B86" s="32">
        <v>1</v>
      </c>
      <c r="C86" s="32" t="s">
        <v>100</v>
      </c>
      <c r="D86" s="36">
        <v>2184</v>
      </c>
      <c r="E86" s="46">
        <f t="shared" si="3"/>
        <v>9.9272727272727277</v>
      </c>
      <c r="F86" s="39">
        <v>2.5</v>
      </c>
      <c r="G86" s="47">
        <v>2.5</v>
      </c>
      <c r="H86" s="47">
        <v>2.5</v>
      </c>
      <c r="I86" s="47">
        <v>12</v>
      </c>
    </row>
    <row r="87" spans="1:9" ht="13.2" x14ac:dyDescent="0.25">
      <c r="A87" s="32" t="s">
        <v>72</v>
      </c>
      <c r="B87" s="32">
        <v>1</v>
      </c>
      <c r="C87" s="32" t="s">
        <v>101</v>
      </c>
      <c r="D87" s="36">
        <v>2200</v>
      </c>
      <c r="E87" s="46">
        <f t="shared" si="3"/>
        <v>10</v>
      </c>
      <c r="F87" s="39">
        <v>1.5</v>
      </c>
      <c r="G87" s="47">
        <v>1.5</v>
      </c>
      <c r="H87" s="47">
        <v>1.5</v>
      </c>
      <c r="I87" s="47">
        <v>12</v>
      </c>
    </row>
    <row r="88" spans="1:9" ht="13.2" x14ac:dyDescent="0.25">
      <c r="A88" s="32" t="s">
        <v>72</v>
      </c>
      <c r="B88" s="32">
        <v>1</v>
      </c>
      <c r="C88" s="32" t="s">
        <v>102</v>
      </c>
      <c r="D88" s="36">
        <v>2200</v>
      </c>
      <c r="E88" s="46">
        <f t="shared" si="3"/>
        <v>10</v>
      </c>
      <c r="F88" s="39">
        <v>1.5</v>
      </c>
      <c r="G88" s="47">
        <v>1.5</v>
      </c>
      <c r="H88" s="47">
        <v>1.5</v>
      </c>
      <c r="I88" s="47">
        <v>12</v>
      </c>
    </row>
    <row r="89" spans="1:9" ht="13.2" x14ac:dyDescent="0.25">
      <c r="A89" s="32" t="s">
        <v>72</v>
      </c>
      <c r="B89" s="32">
        <v>1</v>
      </c>
      <c r="C89" s="32" t="s">
        <v>103</v>
      </c>
      <c r="D89" s="36">
        <v>2200</v>
      </c>
      <c r="E89" s="46">
        <f t="shared" si="3"/>
        <v>10</v>
      </c>
      <c r="F89" s="39">
        <v>1.5</v>
      </c>
      <c r="G89" s="47">
        <v>1.5</v>
      </c>
      <c r="H89" s="47">
        <v>1.5</v>
      </c>
      <c r="I89" s="47">
        <v>12</v>
      </c>
    </row>
    <row r="90" spans="1:9" ht="13.2" x14ac:dyDescent="0.25">
      <c r="A90" s="32" t="s">
        <v>72</v>
      </c>
      <c r="B90" s="32">
        <v>1</v>
      </c>
      <c r="C90" s="32" t="s">
        <v>104</v>
      </c>
      <c r="D90" s="36">
        <v>2200</v>
      </c>
      <c r="E90" s="46">
        <f t="shared" si="3"/>
        <v>10</v>
      </c>
      <c r="F90" s="39">
        <v>1.5</v>
      </c>
      <c r="G90" s="47">
        <v>1.5</v>
      </c>
      <c r="H90" s="47">
        <v>1.5</v>
      </c>
      <c r="I90" s="47">
        <v>12</v>
      </c>
    </row>
    <row r="91" spans="1:9" ht="13.2" x14ac:dyDescent="0.25">
      <c r="A91" s="32" t="s">
        <v>72</v>
      </c>
      <c r="B91" s="32">
        <v>1</v>
      </c>
      <c r="C91" s="32" t="s">
        <v>105</v>
      </c>
      <c r="D91" s="36">
        <v>2200</v>
      </c>
      <c r="E91" s="46">
        <f t="shared" si="3"/>
        <v>10</v>
      </c>
      <c r="F91" s="39">
        <v>1.5</v>
      </c>
      <c r="G91" s="47">
        <v>1.5</v>
      </c>
      <c r="H91" s="47">
        <v>1.5</v>
      </c>
      <c r="I91" s="47">
        <v>12</v>
      </c>
    </row>
    <row r="92" spans="1:9" ht="13.2" x14ac:dyDescent="0.25">
      <c r="A92" s="32" t="s">
        <v>72</v>
      </c>
      <c r="B92" s="32">
        <v>1</v>
      </c>
      <c r="C92" s="32" t="s">
        <v>106</v>
      </c>
      <c r="D92" s="36">
        <v>2200</v>
      </c>
      <c r="E92" s="46">
        <f t="shared" si="3"/>
        <v>10</v>
      </c>
      <c r="F92" s="39">
        <v>1.5</v>
      </c>
      <c r="G92" s="47">
        <v>1.5</v>
      </c>
      <c r="H92" s="47">
        <v>1.5</v>
      </c>
      <c r="I92" s="47">
        <v>12</v>
      </c>
    </row>
    <row r="93" spans="1:9" ht="13.2" x14ac:dyDescent="0.25">
      <c r="A93" s="32" t="s">
        <v>72</v>
      </c>
      <c r="B93" s="32">
        <v>1</v>
      </c>
      <c r="C93" s="32" t="s">
        <v>107</v>
      </c>
      <c r="D93" s="36">
        <v>2200</v>
      </c>
      <c r="E93" s="46">
        <f t="shared" si="3"/>
        <v>10</v>
      </c>
      <c r="F93" s="39">
        <v>1.5</v>
      </c>
      <c r="G93" s="47">
        <v>1.5</v>
      </c>
      <c r="H93" s="47">
        <v>1.5</v>
      </c>
      <c r="I93" s="47">
        <v>12</v>
      </c>
    </row>
    <row r="94" spans="1:9" ht="13.2" x14ac:dyDescent="0.25">
      <c r="A94" s="32" t="s">
        <v>72</v>
      </c>
      <c r="B94" s="32">
        <v>1</v>
      </c>
      <c r="C94" s="32" t="s">
        <v>108</v>
      </c>
      <c r="D94" s="36">
        <v>2200</v>
      </c>
      <c r="E94" s="46">
        <f t="shared" si="3"/>
        <v>10</v>
      </c>
      <c r="F94" s="39">
        <v>2.5</v>
      </c>
      <c r="G94" s="47">
        <v>2.5</v>
      </c>
      <c r="H94" s="47">
        <v>2.5</v>
      </c>
      <c r="I94" s="47">
        <v>12</v>
      </c>
    </row>
    <row r="95" spans="1:9" ht="13.2" x14ac:dyDescent="0.25">
      <c r="A95" s="4"/>
      <c r="B95" s="4"/>
      <c r="C95" s="48" t="s">
        <v>230</v>
      </c>
      <c r="D95" s="49">
        <f>SUM(D70:D94)</f>
        <v>97586</v>
      </c>
      <c r="E95" s="49">
        <f>SUM(E70:E94)</f>
        <v>443.57272727272743</v>
      </c>
      <c r="F95" s="16"/>
      <c r="G95" s="16"/>
      <c r="H95" s="16"/>
    </row>
    <row r="96" spans="1:9" ht="13.2" x14ac:dyDescent="0.25">
      <c r="A96" s="4"/>
      <c r="B96" s="4"/>
      <c r="C96" s="56"/>
      <c r="D96" s="57"/>
      <c r="E96" s="57"/>
      <c r="F96" s="16"/>
      <c r="G96" s="16"/>
      <c r="H96" s="16"/>
    </row>
    <row r="97" spans="1:10" ht="13.2" x14ac:dyDescent="0.25">
      <c r="A97" s="55" t="s">
        <v>220</v>
      </c>
      <c r="B97" s="4"/>
      <c r="C97" s="4"/>
      <c r="D97" s="6"/>
      <c r="E97" s="7"/>
      <c r="F97" s="16"/>
      <c r="G97" s="16"/>
      <c r="H97" s="16"/>
    </row>
    <row r="98" spans="1:10" ht="13.2" x14ac:dyDescent="0.25">
      <c r="A98" s="1" t="s">
        <v>109</v>
      </c>
      <c r="B98" s="1" t="s">
        <v>1</v>
      </c>
      <c r="C98" s="2" t="s">
        <v>2</v>
      </c>
      <c r="D98" s="2" t="s">
        <v>3</v>
      </c>
      <c r="E98" s="3" t="s">
        <v>4</v>
      </c>
      <c r="F98" s="22" t="s">
        <v>179</v>
      </c>
      <c r="G98" s="18" t="s">
        <v>180</v>
      </c>
      <c r="H98" s="23" t="s">
        <v>181</v>
      </c>
      <c r="I98" s="18" t="s">
        <v>182</v>
      </c>
      <c r="J98" s="7"/>
    </row>
    <row r="99" spans="1:10" ht="13.2" x14ac:dyDescent="0.25">
      <c r="A99" s="32" t="s">
        <v>110</v>
      </c>
      <c r="B99" s="32">
        <v>1</v>
      </c>
      <c r="C99" s="32" t="s">
        <v>111</v>
      </c>
      <c r="D99" s="36">
        <v>4000</v>
      </c>
      <c r="E99" s="46">
        <f t="shared" ref="E99:E118" si="4">D99/220</f>
        <v>18.181818181818183</v>
      </c>
      <c r="F99" s="39">
        <v>2.5</v>
      </c>
      <c r="G99" s="47">
        <v>2.5</v>
      </c>
      <c r="H99" s="47">
        <v>2.5</v>
      </c>
      <c r="I99" s="47">
        <v>20</v>
      </c>
    </row>
    <row r="100" spans="1:10" ht="13.2" x14ac:dyDescent="0.25">
      <c r="A100" s="32" t="s">
        <v>110</v>
      </c>
      <c r="B100" s="32">
        <v>1</v>
      </c>
      <c r="C100" s="32" t="s">
        <v>112</v>
      </c>
      <c r="D100" s="36">
        <v>4000</v>
      </c>
      <c r="E100" s="46">
        <f t="shared" si="4"/>
        <v>18.181818181818183</v>
      </c>
      <c r="F100" s="39">
        <v>2.5</v>
      </c>
      <c r="G100" s="47">
        <v>2.5</v>
      </c>
      <c r="H100" s="47">
        <v>2.5</v>
      </c>
      <c r="I100" s="47">
        <v>20</v>
      </c>
    </row>
    <row r="101" spans="1:10" ht="13.2" x14ac:dyDescent="0.25">
      <c r="A101" s="32" t="s">
        <v>110</v>
      </c>
      <c r="B101" s="32">
        <v>1</v>
      </c>
      <c r="C101" s="32" t="s">
        <v>113</v>
      </c>
      <c r="D101" s="36">
        <v>4000</v>
      </c>
      <c r="E101" s="46">
        <f t="shared" si="4"/>
        <v>18.181818181818183</v>
      </c>
      <c r="F101" s="39">
        <v>2.5</v>
      </c>
      <c r="G101" s="47">
        <v>2.5</v>
      </c>
      <c r="H101" s="47">
        <v>2.5</v>
      </c>
      <c r="I101" s="47">
        <v>20</v>
      </c>
    </row>
    <row r="102" spans="1:10" ht="13.2" x14ac:dyDescent="0.25">
      <c r="A102" s="32" t="s">
        <v>110</v>
      </c>
      <c r="B102" s="32">
        <v>1</v>
      </c>
      <c r="C102" s="32" t="s">
        <v>114</v>
      </c>
      <c r="D102" s="36">
        <v>4000</v>
      </c>
      <c r="E102" s="46">
        <f t="shared" si="4"/>
        <v>18.181818181818183</v>
      </c>
      <c r="F102" s="39">
        <v>2.5</v>
      </c>
      <c r="G102" s="47">
        <v>2.5</v>
      </c>
      <c r="H102" s="47">
        <v>2.5</v>
      </c>
      <c r="I102" s="47">
        <v>20</v>
      </c>
    </row>
    <row r="103" spans="1:10" ht="13.2" x14ac:dyDescent="0.25">
      <c r="A103" s="32" t="s">
        <v>110</v>
      </c>
      <c r="B103" s="32">
        <v>1</v>
      </c>
      <c r="C103" s="32" t="s">
        <v>115</v>
      </c>
      <c r="D103" s="36">
        <v>4000</v>
      </c>
      <c r="E103" s="46">
        <f t="shared" si="4"/>
        <v>18.181818181818183</v>
      </c>
      <c r="F103" s="39">
        <v>2.5</v>
      </c>
      <c r="G103" s="47">
        <v>2.5</v>
      </c>
      <c r="H103" s="47">
        <v>2.5</v>
      </c>
      <c r="I103" s="47">
        <v>20</v>
      </c>
    </row>
    <row r="104" spans="1:10" ht="13.2" x14ac:dyDescent="0.25">
      <c r="A104" s="32" t="s">
        <v>110</v>
      </c>
      <c r="B104" s="32">
        <v>1</v>
      </c>
      <c r="C104" s="32" t="s">
        <v>116</v>
      </c>
      <c r="D104" s="36">
        <v>4000</v>
      </c>
      <c r="E104" s="46">
        <f t="shared" si="4"/>
        <v>18.181818181818183</v>
      </c>
      <c r="F104" s="39">
        <v>1.5</v>
      </c>
      <c r="G104" s="47">
        <v>1.5</v>
      </c>
      <c r="H104" s="47">
        <v>1.5</v>
      </c>
      <c r="I104" s="47">
        <v>20</v>
      </c>
    </row>
    <row r="105" spans="1:10" ht="13.2" x14ac:dyDescent="0.25">
      <c r="A105" s="32" t="s">
        <v>110</v>
      </c>
      <c r="B105" s="32">
        <v>1</v>
      </c>
      <c r="C105" s="32" t="s">
        <v>117</v>
      </c>
      <c r="D105" s="36">
        <v>4000</v>
      </c>
      <c r="E105" s="46">
        <f t="shared" si="4"/>
        <v>18.181818181818183</v>
      </c>
      <c r="F105" s="39">
        <v>1.5</v>
      </c>
      <c r="G105" s="47">
        <v>1.5</v>
      </c>
      <c r="H105" s="47">
        <v>1.5</v>
      </c>
      <c r="I105" s="47">
        <v>20</v>
      </c>
    </row>
    <row r="106" spans="1:10" ht="13.2" x14ac:dyDescent="0.25">
      <c r="A106" s="32" t="s">
        <v>110</v>
      </c>
      <c r="B106" s="32">
        <v>1</v>
      </c>
      <c r="C106" s="32" t="s">
        <v>118</v>
      </c>
      <c r="D106" s="36">
        <v>4000</v>
      </c>
      <c r="E106" s="46">
        <f t="shared" si="4"/>
        <v>18.181818181818183</v>
      </c>
      <c r="F106" s="39">
        <v>1.5</v>
      </c>
      <c r="G106" s="47">
        <v>1.5</v>
      </c>
      <c r="H106" s="47">
        <v>1.5</v>
      </c>
      <c r="I106" s="47">
        <v>20</v>
      </c>
    </row>
    <row r="107" spans="1:10" ht="13.2" x14ac:dyDescent="0.25">
      <c r="A107" s="32" t="s">
        <v>110</v>
      </c>
      <c r="B107" s="32">
        <v>1</v>
      </c>
      <c r="C107" s="32" t="s">
        <v>119</v>
      </c>
      <c r="D107" s="36">
        <v>4000</v>
      </c>
      <c r="E107" s="46">
        <f t="shared" si="4"/>
        <v>18.181818181818183</v>
      </c>
      <c r="F107" s="39">
        <v>1.5</v>
      </c>
      <c r="G107" s="47">
        <v>1.5</v>
      </c>
      <c r="H107" s="47">
        <v>1.5</v>
      </c>
      <c r="I107" s="47">
        <v>20</v>
      </c>
    </row>
    <row r="108" spans="1:10" ht="13.2" x14ac:dyDescent="0.25">
      <c r="A108" s="32" t="s">
        <v>110</v>
      </c>
      <c r="B108" s="32">
        <v>1</v>
      </c>
      <c r="C108" s="32" t="s">
        <v>120</v>
      </c>
      <c r="D108" s="36">
        <v>4000</v>
      </c>
      <c r="E108" s="46">
        <f t="shared" si="4"/>
        <v>18.181818181818183</v>
      </c>
      <c r="F108" s="39">
        <v>1.5</v>
      </c>
      <c r="G108" s="47">
        <v>1.5</v>
      </c>
      <c r="H108" s="47">
        <v>1.5</v>
      </c>
      <c r="I108" s="47">
        <v>20</v>
      </c>
    </row>
    <row r="109" spans="1:10" ht="13.2" x14ac:dyDescent="0.25">
      <c r="A109" s="32" t="s">
        <v>110</v>
      </c>
      <c r="B109" s="32">
        <v>1</v>
      </c>
      <c r="C109" s="32" t="s">
        <v>121</v>
      </c>
      <c r="D109" s="36">
        <v>4000</v>
      </c>
      <c r="E109" s="46">
        <f t="shared" si="4"/>
        <v>18.181818181818183</v>
      </c>
      <c r="F109" s="39">
        <v>1.5</v>
      </c>
      <c r="G109" s="47">
        <v>1.5</v>
      </c>
      <c r="H109" s="47">
        <v>1.5</v>
      </c>
      <c r="I109" s="47">
        <v>20</v>
      </c>
    </row>
    <row r="110" spans="1:10" ht="13.2" x14ac:dyDescent="0.25">
      <c r="A110" s="32" t="s">
        <v>110</v>
      </c>
      <c r="B110" s="32">
        <v>1</v>
      </c>
      <c r="C110" s="32" t="s">
        <v>122</v>
      </c>
      <c r="D110" s="36">
        <v>4000</v>
      </c>
      <c r="E110" s="46">
        <f t="shared" si="4"/>
        <v>18.181818181818183</v>
      </c>
      <c r="F110" s="39">
        <v>1.5</v>
      </c>
      <c r="G110" s="47">
        <v>1.5</v>
      </c>
      <c r="H110" s="47">
        <v>1.5</v>
      </c>
      <c r="I110" s="47">
        <v>20</v>
      </c>
    </row>
    <row r="111" spans="1:10" ht="13.2" x14ac:dyDescent="0.25">
      <c r="A111" s="32" t="s">
        <v>110</v>
      </c>
      <c r="B111" s="32">
        <v>1</v>
      </c>
      <c r="C111" s="32" t="s">
        <v>123</v>
      </c>
      <c r="D111" s="36">
        <v>4000</v>
      </c>
      <c r="E111" s="46">
        <f t="shared" si="4"/>
        <v>18.181818181818183</v>
      </c>
      <c r="F111" s="39">
        <v>1.5</v>
      </c>
      <c r="G111" s="47">
        <v>1.5</v>
      </c>
      <c r="H111" s="47">
        <v>1.5</v>
      </c>
      <c r="I111" s="47">
        <v>20</v>
      </c>
    </row>
    <row r="112" spans="1:10" ht="13.2" x14ac:dyDescent="0.25">
      <c r="A112" s="32" t="s">
        <v>110</v>
      </c>
      <c r="B112" s="32">
        <v>1</v>
      </c>
      <c r="C112" s="32" t="s">
        <v>124</v>
      </c>
      <c r="D112" s="36">
        <v>4000</v>
      </c>
      <c r="E112" s="46">
        <f t="shared" si="4"/>
        <v>18.181818181818183</v>
      </c>
      <c r="F112" s="39">
        <v>1.5</v>
      </c>
      <c r="G112" s="47">
        <v>1.5</v>
      </c>
      <c r="H112" s="47">
        <v>1.5</v>
      </c>
      <c r="I112" s="47">
        <v>20</v>
      </c>
    </row>
    <row r="113" spans="1:10" ht="13.2" x14ac:dyDescent="0.25">
      <c r="A113" s="32" t="s">
        <v>110</v>
      </c>
      <c r="B113" s="32">
        <v>1</v>
      </c>
      <c r="C113" s="32" t="s">
        <v>125</v>
      </c>
      <c r="D113" s="36">
        <v>4000</v>
      </c>
      <c r="E113" s="46">
        <f t="shared" si="4"/>
        <v>18.181818181818183</v>
      </c>
      <c r="F113" s="39">
        <v>1.5</v>
      </c>
      <c r="G113" s="47">
        <v>1.5</v>
      </c>
      <c r="H113" s="47">
        <v>1.5</v>
      </c>
      <c r="I113" s="47">
        <v>20</v>
      </c>
    </row>
    <row r="114" spans="1:10" ht="13.2" x14ac:dyDescent="0.25">
      <c r="A114" s="32" t="s">
        <v>72</v>
      </c>
      <c r="B114" s="32">
        <v>1</v>
      </c>
      <c r="C114" s="32" t="s">
        <v>126</v>
      </c>
      <c r="D114" s="36">
        <v>2200</v>
      </c>
      <c r="E114" s="46">
        <f t="shared" si="4"/>
        <v>10</v>
      </c>
      <c r="F114" s="39">
        <v>1.5</v>
      </c>
      <c r="G114" s="47">
        <v>1.5</v>
      </c>
      <c r="H114" s="47">
        <v>1.5</v>
      </c>
      <c r="I114" s="47">
        <v>12</v>
      </c>
    </row>
    <row r="115" spans="1:10" ht="13.2" x14ac:dyDescent="0.25">
      <c r="A115" s="32" t="s">
        <v>72</v>
      </c>
      <c r="B115" s="32">
        <v>1</v>
      </c>
      <c r="C115" s="32" t="s">
        <v>127</v>
      </c>
      <c r="D115" s="36">
        <v>2200</v>
      </c>
      <c r="E115" s="46">
        <f t="shared" si="4"/>
        <v>10</v>
      </c>
      <c r="F115" s="39">
        <v>1.5</v>
      </c>
      <c r="G115" s="47">
        <v>1.5</v>
      </c>
      <c r="H115" s="47">
        <v>1.5</v>
      </c>
      <c r="I115" s="47">
        <v>12</v>
      </c>
    </row>
    <row r="116" spans="1:10" ht="13.2" x14ac:dyDescent="0.25">
      <c r="A116" s="32" t="s">
        <v>72</v>
      </c>
      <c r="B116" s="32">
        <v>1</v>
      </c>
      <c r="C116" s="32" t="s">
        <v>128</v>
      </c>
      <c r="D116" s="36">
        <v>2200</v>
      </c>
      <c r="E116" s="46">
        <f t="shared" si="4"/>
        <v>10</v>
      </c>
      <c r="F116" s="39">
        <v>1.5</v>
      </c>
      <c r="G116" s="47">
        <v>1.5</v>
      </c>
      <c r="H116" s="47">
        <v>1.5</v>
      </c>
      <c r="I116" s="47">
        <v>12</v>
      </c>
    </row>
    <row r="117" spans="1:10" ht="13.2" x14ac:dyDescent="0.25">
      <c r="A117" s="32" t="s">
        <v>72</v>
      </c>
      <c r="B117" s="32">
        <v>1</v>
      </c>
      <c r="C117" s="32" t="s">
        <v>129</v>
      </c>
      <c r="D117" s="36">
        <v>2200</v>
      </c>
      <c r="E117" s="46">
        <f t="shared" si="4"/>
        <v>10</v>
      </c>
      <c r="F117" s="39">
        <v>1.5</v>
      </c>
      <c r="G117" s="47">
        <v>1.5</v>
      </c>
      <c r="H117" s="47">
        <v>1.5</v>
      </c>
      <c r="I117" s="47">
        <v>12</v>
      </c>
    </row>
    <row r="118" spans="1:10" ht="13.2" x14ac:dyDescent="0.25">
      <c r="A118" s="32" t="s">
        <v>72</v>
      </c>
      <c r="B118" s="32">
        <v>1</v>
      </c>
      <c r="C118" s="32" t="s">
        <v>130</v>
      </c>
      <c r="D118" s="36">
        <v>2200</v>
      </c>
      <c r="E118" s="46">
        <f t="shared" si="4"/>
        <v>10</v>
      </c>
      <c r="F118" s="39">
        <v>1.5</v>
      </c>
      <c r="G118" s="47">
        <v>1.5</v>
      </c>
      <c r="H118" s="47">
        <v>1.5</v>
      </c>
      <c r="I118" s="47">
        <v>12</v>
      </c>
    </row>
    <row r="119" spans="1:10" ht="13.2" x14ac:dyDescent="0.25">
      <c r="A119" s="4"/>
      <c r="B119" s="4"/>
      <c r="C119" s="48" t="s">
        <v>230</v>
      </c>
      <c r="D119" s="49">
        <f>SUM(D99:D118)</f>
        <v>71000</v>
      </c>
      <c r="E119" s="49">
        <f>SUM(E99:E118)</f>
        <v>322.72727272727275</v>
      </c>
      <c r="F119" s="16"/>
      <c r="G119" s="16"/>
      <c r="H119" s="16"/>
    </row>
    <row r="120" spans="1:10" ht="13.2" x14ac:dyDescent="0.25">
      <c r="A120" s="4"/>
      <c r="B120" s="4"/>
      <c r="C120" s="56"/>
      <c r="D120" s="57"/>
      <c r="E120" s="57"/>
      <c r="F120" s="16"/>
      <c r="G120" s="16"/>
      <c r="H120" s="16"/>
    </row>
    <row r="121" spans="1:10" ht="13.2" x14ac:dyDescent="0.25">
      <c r="A121" s="55" t="s">
        <v>216</v>
      </c>
      <c r="B121" s="4"/>
      <c r="C121" s="4"/>
      <c r="D121" s="6"/>
      <c r="E121" s="7"/>
      <c r="F121" s="16"/>
      <c r="G121" s="16"/>
      <c r="H121" s="16"/>
    </row>
    <row r="122" spans="1:10" ht="13.2" x14ac:dyDescent="0.25">
      <c r="A122" s="1" t="s">
        <v>131</v>
      </c>
      <c r="B122" s="1" t="s">
        <v>1</v>
      </c>
      <c r="C122" s="2" t="s">
        <v>2</v>
      </c>
      <c r="D122" s="2" t="s">
        <v>3</v>
      </c>
      <c r="E122" s="3" t="s">
        <v>4</v>
      </c>
      <c r="F122" s="22" t="s">
        <v>179</v>
      </c>
      <c r="G122" s="18" t="s">
        <v>180</v>
      </c>
      <c r="H122" s="23" t="s">
        <v>181</v>
      </c>
      <c r="I122" s="18" t="s">
        <v>182</v>
      </c>
      <c r="J122" s="7"/>
    </row>
    <row r="123" spans="1:10" ht="13.2" x14ac:dyDescent="0.25">
      <c r="A123" s="32" t="s">
        <v>132</v>
      </c>
      <c r="B123" s="32">
        <v>1</v>
      </c>
      <c r="C123" s="32" t="s">
        <v>133</v>
      </c>
      <c r="D123" s="36">
        <v>72000</v>
      </c>
      <c r="E123" s="46">
        <f t="shared" ref="E123:E145" si="5">D123/220</f>
        <v>327.27272727272725</v>
      </c>
      <c r="F123" s="39">
        <v>95</v>
      </c>
      <c r="G123" s="47">
        <v>50</v>
      </c>
      <c r="H123" s="47">
        <v>50</v>
      </c>
      <c r="I123" s="47">
        <v>350</v>
      </c>
    </row>
    <row r="124" spans="1:10" ht="13.2" x14ac:dyDescent="0.25">
      <c r="A124" s="32" t="s">
        <v>64</v>
      </c>
      <c r="B124" s="32">
        <v>3</v>
      </c>
      <c r="C124" s="32" t="s">
        <v>134</v>
      </c>
      <c r="D124" s="38">
        <v>1380</v>
      </c>
      <c r="E124" s="46">
        <f t="shared" si="5"/>
        <v>6.2727272727272725</v>
      </c>
      <c r="F124" s="39">
        <v>1.5</v>
      </c>
      <c r="G124" s="47">
        <v>1.5</v>
      </c>
      <c r="H124" s="47">
        <v>1.5</v>
      </c>
      <c r="I124" s="47">
        <v>10</v>
      </c>
    </row>
    <row r="125" spans="1:10" ht="13.2" x14ac:dyDescent="0.25">
      <c r="A125" s="32" t="s">
        <v>64</v>
      </c>
      <c r="B125" s="32">
        <v>2</v>
      </c>
      <c r="C125" s="32" t="s">
        <v>135</v>
      </c>
      <c r="D125" s="38">
        <v>920</v>
      </c>
      <c r="E125" s="46">
        <f t="shared" si="5"/>
        <v>4.1818181818181817</v>
      </c>
      <c r="F125" s="39">
        <v>1.5</v>
      </c>
      <c r="G125" s="47">
        <v>1.5</v>
      </c>
      <c r="H125" s="47">
        <v>1.5</v>
      </c>
      <c r="I125" s="47">
        <v>6</v>
      </c>
    </row>
    <row r="126" spans="1:10" ht="13.2" x14ac:dyDescent="0.25">
      <c r="A126" s="32" t="s">
        <v>81</v>
      </c>
      <c r="B126" s="32">
        <v>5</v>
      </c>
      <c r="C126" s="32" t="s">
        <v>136</v>
      </c>
      <c r="D126" s="32">
        <v>750</v>
      </c>
      <c r="E126" s="46">
        <f t="shared" si="5"/>
        <v>3.4090909090909092</v>
      </c>
      <c r="F126" s="39">
        <v>1.5</v>
      </c>
      <c r="G126" s="47">
        <v>1.5</v>
      </c>
      <c r="H126" s="47">
        <v>1.5</v>
      </c>
      <c r="I126" s="47">
        <v>6</v>
      </c>
    </row>
    <row r="127" spans="1:10" ht="13.2" x14ac:dyDescent="0.25">
      <c r="A127" s="32" t="s">
        <v>137</v>
      </c>
      <c r="B127" s="32">
        <v>1</v>
      </c>
      <c r="C127" s="32" t="s">
        <v>138</v>
      </c>
      <c r="D127" s="36">
        <v>1000</v>
      </c>
      <c r="E127" s="46">
        <f t="shared" si="5"/>
        <v>4.5454545454545459</v>
      </c>
      <c r="F127" s="39">
        <v>1.5</v>
      </c>
      <c r="G127" s="47">
        <v>1.5</v>
      </c>
      <c r="H127" s="47">
        <v>1.5</v>
      </c>
      <c r="I127" s="47">
        <v>6</v>
      </c>
    </row>
    <row r="128" spans="1:10" ht="13.2" x14ac:dyDescent="0.25">
      <c r="A128" s="32" t="s">
        <v>137</v>
      </c>
      <c r="B128" s="32">
        <v>1</v>
      </c>
      <c r="C128" s="32" t="s">
        <v>139</v>
      </c>
      <c r="D128" s="36">
        <v>1000</v>
      </c>
      <c r="E128" s="46">
        <f t="shared" si="5"/>
        <v>4.5454545454545459</v>
      </c>
      <c r="F128" s="39">
        <v>1.5</v>
      </c>
      <c r="G128" s="47">
        <v>1.5</v>
      </c>
      <c r="H128" s="47">
        <v>1.5</v>
      </c>
      <c r="I128" s="47">
        <v>6</v>
      </c>
    </row>
    <row r="129" spans="1:9" ht="13.2" x14ac:dyDescent="0.25">
      <c r="A129" s="32" t="s">
        <v>137</v>
      </c>
      <c r="B129" s="32">
        <v>1</v>
      </c>
      <c r="C129" s="32" t="s">
        <v>140</v>
      </c>
      <c r="D129" s="36">
        <v>1000</v>
      </c>
      <c r="E129" s="46">
        <f t="shared" si="5"/>
        <v>4.5454545454545459</v>
      </c>
      <c r="F129" s="39">
        <v>1.5</v>
      </c>
      <c r="G129" s="47">
        <v>1.5</v>
      </c>
      <c r="H129" s="47">
        <v>1.5</v>
      </c>
      <c r="I129" s="47">
        <v>6</v>
      </c>
    </row>
    <row r="130" spans="1:9" ht="13.2" x14ac:dyDescent="0.25">
      <c r="A130" s="32" t="s">
        <v>137</v>
      </c>
      <c r="B130" s="32">
        <v>1</v>
      </c>
      <c r="C130" s="32" t="s">
        <v>141</v>
      </c>
      <c r="D130" s="36">
        <v>1000</v>
      </c>
      <c r="E130" s="46">
        <f t="shared" si="5"/>
        <v>4.5454545454545459</v>
      </c>
      <c r="F130" s="39">
        <v>1.5</v>
      </c>
      <c r="G130" s="47">
        <v>1.5</v>
      </c>
      <c r="H130" s="47">
        <v>1.5</v>
      </c>
      <c r="I130" s="47">
        <v>6</v>
      </c>
    </row>
    <row r="131" spans="1:9" ht="13.2" x14ac:dyDescent="0.25">
      <c r="A131" s="32" t="s">
        <v>137</v>
      </c>
      <c r="B131" s="32">
        <v>1</v>
      </c>
      <c r="C131" s="32" t="s">
        <v>142</v>
      </c>
      <c r="D131" s="36">
        <v>1000</v>
      </c>
      <c r="E131" s="46">
        <f t="shared" si="5"/>
        <v>4.5454545454545459</v>
      </c>
      <c r="F131" s="39">
        <v>1.5</v>
      </c>
      <c r="G131" s="47">
        <v>1.5</v>
      </c>
      <c r="H131" s="47">
        <v>1.5</v>
      </c>
      <c r="I131" s="47">
        <v>6</v>
      </c>
    </row>
    <row r="132" spans="1:9" ht="13.2" x14ac:dyDescent="0.25">
      <c r="A132" s="32" t="s">
        <v>143</v>
      </c>
      <c r="B132" s="32">
        <v>1</v>
      </c>
      <c r="C132" s="32" t="s">
        <v>144</v>
      </c>
      <c r="D132" s="36">
        <v>2000</v>
      </c>
      <c r="E132" s="46">
        <f t="shared" si="5"/>
        <v>9.0909090909090917</v>
      </c>
      <c r="F132" s="39">
        <v>1.5</v>
      </c>
      <c r="G132" s="47">
        <v>1.5</v>
      </c>
      <c r="H132" s="47">
        <v>1.5</v>
      </c>
      <c r="I132" s="47">
        <v>10</v>
      </c>
    </row>
    <row r="133" spans="1:9" ht="13.2" x14ac:dyDescent="0.25">
      <c r="A133" s="32" t="s">
        <v>143</v>
      </c>
      <c r="B133" s="32">
        <v>1</v>
      </c>
      <c r="C133" s="32" t="s">
        <v>145</v>
      </c>
      <c r="D133" s="36">
        <v>2000</v>
      </c>
      <c r="E133" s="46">
        <f t="shared" si="5"/>
        <v>9.0909090909090917</v>
      </c>
      <c r="F133" s="39">
        <v>2.5</v>
      </c>
      <c r="G133" s="47">
        <v>2.5</v>
      </c>
      <c r="H133" s="47">
        <v>2.5</v>
      </c>
      <c r="I133" s="47">
        <v>10</v>
      </c>
    </row>
    <row r="134" spans="1:9" ht="13.2" x14ac:dyDescent="0.25">
      <c r="A134" s="32" t="s">
        <v>143</v>
      </c>
      <c r="B134" s="32">
        <v>1</v>
      </c>
      <c r="C134" s="32" t="s">
        <v>146</v>
      </c>
      <c r="D134" s="36">
        <v>2000</v>
      </c>
      <c r="E134" s="46">
        <f t="shared" si="5"/>
        <v>9.0909090909090917</v>
      </c>
      <c r="F134" s="39">
        <v>2.5</v>
      </c>
      <c r="G134" s="47">
        <v>2.5</v>
      </c>
      <c r="H134" s="47">
        <v>2.5</v>
      </c>
      <c r="I134" s="47">
        <v>10</v>
      </c>
    </row>
    <row r="135" spans="1:9" ht="13.2" x14ac:dyDescent="0.25">
      <c r="A135" s="32" t="s">
        <v>143</v>
      </c>
      <c r="B135" s="32">
        <v>1</v>
      </c>
      <c r="C135" s="32" t="s">
        <v>147</v>
      </c>
      <c r="D135" s="36">
        <v>2000</v>
      </c>
      <c r="E135" s="46">
        <f t="shared" si="5"/>
        <v>9.0909090909090917</v>
      </c>
      <c r="F135" s="39">
        <v>2.5</v>
      </c>
      <c r="G135" s="47">
        <v>2.5</v>
      </c>
      <c r="H135" s="47">
        <v>2.5</v>
      </c>
      <c r="I135" s="47">
        <v>10</v>
      </c>
    </row>
    <row r="136" spans="1:9" ht="13.2" x14ac:dyDescent="0.25">
      <c r="A136" s="32" t="s">
        <v>143</v>
      </c>
      <c r="B136" s="32">
        <v>1</v>
      </c>
      <c r="C136" s="32" t="s">
        <v>148</v>
      </c>
      <c r="D136" s="36">
        <v>2000</v>
      </c>
      <c r="E136" s="46">
        <f t="shared" si="5"/>
        <v>9.0909090909090917</v>
      </c>
      <c r="F136" s="39">
        <v>2.5</v>
      </c>
      <c r="G136" s="47">
        <v>2.5</v>
      </c>
      <c r="H136" s="47">
        <v>2.5</v>
      </c>
      <c r="I136" s="47">
        <v>10</v>
      </c>
    </row>
    <row r="137" spans="1:9" ht="13.2" x14ac:dyDescent="0.25">
      <c r="A137" s="32" t="s">
        <v>149</v>
      </c>
      <c r="B137" s="32">
        <v>5</v>
      </c>
      <c r="C137" s="32" t="s">
        <v>150</v>
      </c>
      <c r="D137" s="32">
        <v>250</v>
      </c>
      <c r="E137" s="46">
        <f t="shared" si="5"/>
        <v>1.1363636363636365</v>
      </c>
      <c r="F137" s="39">
        <v>1.5</v>
      </c>
      <c r="G137" s="47">
        <v>1.5</v>
      </c>
      <c r="H137" s="47">
        <v>1.5</v>
      </c>
      <c r="I137" s="47">
        <v>2</v>
      </c>
    </row>
    <row r="138" spans="1:9" ht="13.2" x14ac:dyDescent="0.25">
      <c r="A138" s="32" t="s">
        <v>72</v>
      </c>
      <c r="B138" s="32">
        <v>1</v>
      </c>
      <c r="C138" s="32" t="s">
        <v>151</v>
      </c>
      <c r="D138" s="36">
        <v>2200</v>
      </c>
      <c r="E138" s="46">
        <f t="shared" si="5"/>
        <v>10</v>
      </c>
      <c r="F138" s="39">
        <v>2.5</v>
      </c>
      <c r="G138" s="47">
        <v>2.5</v>
      </c>
      <c r="H138" s="47">
        <v>2.5</v>
      </c>
      <c r="I138" s="47">
        <v>12</v>
      </c>
    </row>
    <row r="139" spans="1:9" ht="13.2" x14ac:dyDescent="0.25">
      <c r="A139" s="32" t="s">
        <v>72</v>
      </c>
      <c r="B139" s="32">
        <v>1</v>
      </c>
      <c r="C139" s="32" t="s">
        <v>152</v>
      </c>
      <c r="D139" s="36">
        <v>2200</v>
      </c>
      <c r="E139" s="46">
        <f t="shared" si="5"/>
        <v>10</v>
      </c>
      <c r="F139" s="39">
        <v>2.5</v>
      </c>
      <c r="G139" s="47">
        <v>2.5</v>
      </c>
      <c r="H139" s="47">
        <v>2.5</v>
      </c>
      <c r="I139" s="47">
        <v>12</v>
      </c>
    </row>
    <row r="140" spans="1:9" ht="13.2" x14ac:dyDescent="0.25">
      <c r="A140" s="32" t="s">
        <v>72</v>
      </c>
      <c r="B140" s="32">
        <v>1</v>
      </c>
      <c r="C140" s="32" t="s">
        <v>153</v>
      </c>
      <c r="D140" s="36">
        <v>2200</v>
      </c>
      <c r="E140" s="46">
        <f t="shared" si="5"/>
        <v>10</v>
      </c>
      <c r="F140" s="39">
        <v>2.5</v>
      </c>
      <c r="G140" s="47">
        <v>2.5</v>
      </c>
      <c r="H140" s="47">
        <v>2.5</v>
      </c>
      <c r="I140" s="47">
        <v>12</v>
      </c>
    </row>
    <row r="141" spans="1:9" ht="13.2" x14ac:dyDescent="0.25">
      <c r="A141" s="32" t="s">
        <v>72</v>
      </c>
      <c r="B141" s="32">
        <v>1</v>
      </c>
      <c r="C141" s="32" t="s">
        <v>154</v>
      </c>
      <c r="D141" s="36">
        <v>2200</v>
      </c>
      <c r="E141" s="46">
        <f t="shared" si="5"/>
        <v>10</v>
      </c>
      <c r="F141" s="39">
        <v>2.5</v>
      </c>
      <c r="G141" s="47">
        <v>2.5</v>
      </c>
      <c r="H141" s="47">
        <v>2.5</v>
      </c>
      <c r="I141" s="47">
        <v>12</v>
      </c>
    </row>
    <row r="142" spans="1:9" ht="13.2" x14ac:dyDescent="0.25">
      <c r="A142" s="32" t="s">
        <v>72</v>
      </c>
      <c r="B142" s="32">
        <v>1</v>
      </c>
      <c r="C142" s="32" t="s">
        <v>155</v>
      </c>
      <c r="D142" s="36">
        <v>2200</v>
      </c>
      <c r="E142" s="46">
        <f t="shared" si="5"/>
        <v>10</v>
      </c>
      <c r="F142" s="39">
        <v>2.5</v>
      </c>
      <c r="G142" s="47">
        <v>2.5</v>
      </c>
      <c r="H142" s="47">
        <v>2.5</v>
      </c>
      <c r="I142" s="47">
        <v>12</v>
      </c>
    </row>
    <row r="143" spans="1:9" ht="13.2" x14ac:dyDescent="0.25">
      <c r="A143" s="32" t="s">
        <v>72</v>
      </c>
      <c r="B143" s="32">
        <v>1</v>
      </c>
      <c r="C143" s="32" t="s">
        <v>156</v>
      </c>
      <c r="D143" s="36">
        <v>2200</v>
      </c>
      <c r="E143" s="46">
        <f t="shared" si="5"/>
        <v>10</v>
      </c>
      <c r="F143" s="39">
        <v>2.5</v>
      </c>
      <c r="G143" s="47">
        <v>2.5</v>
      </c>
      <c r="H143" s="47">
        <v>2.5</v>
      </c>
      <c r="I143" s="47">
        <v>12</v>
      </c>
    </row>
    <row r="144" spans="1:9" ht="13.2" x14ac:dyDescent="0.25">
      <c r="A144" s="32" t="s">
        <v>72</v>
      </c>
      <c r="B144" s="32">
        <v>1</v>
      </c>
      <c r="C144" s="32" t="s">
        <v>157</v>
      </c>
      <c r="D144" s="36">
        <v>2200</v>
      </c>
      <c r="E144" s="46">
        <f t="shared" si="5"/>
        <v>10</v>
      </c>
      <c r="F144" s="39">
        <v>2.5</v>
      </c>
      <c r="G144" s="47">
        <v>2.5</v>
      </c>
      <c r="H144" s="47">
        <v>2.5</v>
      </c>
      <c r="I144" s="47">
        <v>12</v>
      </c>
    </row>
    <row r="145" spans="1:10" ht="13.2" x14ac:dyDescent="0.25">
      <c r="A145" s="32" t="s">
        <v>72</v>
      </c>
      <c r="B145" s="32">
        <v>1</v>
      </c>
      <c r="C145" s="32" t="s">
        <v>158</v>
      </c>
      <c r="D145" s="36">
        <v>2200</v>
      </c>
      <c r="E145" s="46">
        <f t="shared" si="5"/>
        <v>10</v>
      </c>
      <c r="F145" s="39">
        <v>4</v>
      </c>
      <c r="G145" s="47">
        <v>4</v>
      </c>
      <c r="H145" s="47">
        <v>4</v>
      </c>
      <c r="I145" s="47">
        <v>12</v>
      </c>
    </row>
    <row r="146" spans="1:10" ht="13.2" x14ac:dyDescent="0.25">
      <c r="A146" s="4"/>
      <c r="B146" s="4"/>
      <c r="C146" s="52" t="s">
        <v>230</v>
      </c>
      <c r="D146" s="53">
        <f>SUM(D123:D145)</f>
        <v>107900</v>
      </c>
      <c r="E146" s="53">
        <f>SUM(E123:E145)</f>
        <v>490.45454545454538</v>
      </c>
      <c r="F146" s="16"/>
      <c r="G146" s="16"/>
      <c r="H146" s="16"/>
    </row>
    <row r="147" spans="1:10" ht="13.2" x14ac:dyDescent="0.25">
      <c r="A147" s="4"/>
      <c r="B147" s="4"/>
      <c r="C147" s="56"/>
      <c r="D147" s="57"/>
      <c r="E147" s="57"/>
      <c r="F147" s="16"/>
      <c r="G147" s="16"/>
      <c r="H147" s="16"/>
    </row>
    <row r="148" spans="1:10" ht="13.2" x14ac:dyDescent="0.25">
      <c r="A148" s="55" t="s">
        <v>213</v>
      </c>
      <c r="B148" s="4"/>
      <c r="C148" s="4"/>
      <c r="D148" s="6"/>
      <c r="E148" s="7"/>
      <c r="F148" s="16"/>
      <c r="G148" s="16"/>
      <c r="H148" s="16"/>
    </row>
    <row r="149" spans="1:10" ht="13.2" x14ac:dyDescent="0.25">
      <c r="A149" s="1" t="s">
        <v>159</v>
      </c>
      <c r="B149" s="1" t="s">
        <v>1</v>
      </c>
      <c r="C149" s="2" t="s">
        <v>2</v>
      </c>
      <c r="D149" s="2" t="s">
        <v>3</v>
      </c>
      <c r="E149" s="3" t="s">
        <v>4</v>
      </c>
      <c r="F149" s="22" t="s">
        <v>179</v>
      </c>
      <c r="G149" s="18" t="s">
        <v>180</v>
      </c>
      <c r="H149" s="23" t="s">
        <v>181</v>
      </c>
      <c r="I149" s="18" t="s">
        <v>182</v>
      </c>
      <c r="J149" s="7"/>
    </row>
    <row r="150" spans="1:10" ht="13.2" x14ac:dyDescent="0.25">
      <c r="A150" s="32" t="s">
        <v>72</v>
      </c>
      <c r="B150" s="32">
        <v>1</v>
      </c>
      <c r="C150" s="32" t="s">
        <v>160</v>
      </c>
      <c r="D150" s="36">
        <v>2200</v>
      </c>
      <c r="E150" s="46">
        <f t="shared" ref="E150:E156" si="6">D150/220</f>
        <v>10</v>
      </c>
      <c r="F150" s="39">
        <v>1.5</v>
      </c>
      <c r="G150" s="47">
        <v>1.5</v>
      </c>
      <c r="H150" s="47">
        <v>1.5</v>
      </c>
      <c r="I150" s="47">
        <v>12</v>
      </c>
    </row>
    <row r="151" spans="1:10" ht="13.2" x14ac:dyDescent="0.25">
      <c r="A151" s="32" t="s">
        <v>72</v>
      </c>
      <c r="B151" s="32">
        <v>1</v>
      </c>
      <c r="C151" s="32" t="s">
        <v>161</v>
      </c>
      <c r="D151" s="36">
        <v>2200</v>
      </c>
      <c r="E151" s="46">
        <f t="shared" si="6"/>
        <v>10</v>
      </c>
      <c r="F151" s="39">
        <v>1.5</v>
      </c>
      <c r="G151" s="47">
        <v>1.5</v>
      </c>
      <c r="H151" s="47">
        <v>1.5</v>
      </c>
      <c r="I151" s="47">
        <v>12</v>
      </c>
    </row>
    <row r="152" spans="1:10" ht="13.2" x14ac:dyDescent="0.25">
      <c r="A152" s="32" t="s">
        <v>72</v>
      </c>
      <c r="B152" s="32">
        <v>1</v>
      </c>
      <c r="C152" s="32" t="s">
        <v>162</v>
      </c>
      <c r="D152" s="36">
        <v>2200</v>
      </c>
      <c r="E152" s="46">
        <f t="shared" si="6"/>
        <v>10</v>
      </c>
      <c r="F152" s="39">
        <v>1.5</v>
      </c>
      <c r="G152" s="47">
        <v>1.5</v>
      </c>
      <c r="H152" s="47">
        <v>1.5</v>
      </c>
      <c r="I152" s="47">
        <v>12</v>
      </c>
    </row>
    <row r="153" spans="1:10" ht="13.2" x14ac:dyDescent="0.25">
      <c r="A153" s="32" t="s">
        <v>72</v>
      </c>
      <c r="B153" s="32">
        <v>1</v>
      </c>
      <c r="C153" s="32" t="s">
        <v>163</v>
      </c>
      <c r="D153" s="36">
        <v>2200</v>
      </c>
      <c r="E153" s="46">
        <f t="shared" si="6"/>
        <v>10</v>
      </c>
      <c r="F153" s="39">
        <v>1.5</v>
      </c>
      <c r="G153" s="47">
        <v>1.5</v>
      </c>
      <c r="H153" s="47">
        <v>1.5</v>
      </c>
      <c r="I153" s="47">
        <v>12</v>
      </c>
    </row>
    <row r="154" spans="1:10" ht="13.2" x14ac:dyDescent="0.25">
      <c r="A154" s="32" t="s">
        <v>72</v>
      </c>
      <c r="B154" s="32">
        <v>1</v>
      </c>
      <c r="C154" s="32" t="s">
        <v>164</v>
      </c>
      <c r="D154" s="36">
        <v>2200</v>
      </c>
      <c r="E154" s="46">
        <f t="shared" si="6"/>
        <v>10</v>
      </c>
      <c r="F154" s="39">
        <v>1.5</v>
      </c>
      <c r="G154" s="47">
        <v>1.5</v>
      </c>
      <c r="H154" s="47">
        <v>1.5</v>
      </c>
      <c r="I154" s="47">
        <v>12</v>
      </c>
    </row>
    <row r="155" spans="1:10" ht="13.2" x14ac:dyDescent="0.25">
      <c r="A155" s="32" t="s">
        <v>72</v>
      </c>
      <c r="B155" s="32">
        <v>1</v>
      </c>
      <c r="C155" s="32" t="s">
        <v>165</v>
      </c>
      <c r="D155" s="36">
        <v>2200</v>
      </c>
      <c r="E155" s="46">
        <f t="shared" si="6"/>
        <v>10</v>
      </c>
      <c r="F155" s="39">
        <v>1.5</v>
      </c>
      <c r="G155" s="47">
        <v>1.5</v>
      </c>
      <c r="H155" s="47">
        <v>1.5</v>
      </c>
      <c r="I155" s="47">
        <v>12</v>
      </c>
    </row>
    <row r="156" spans="1:10" ht="13.2" x14ac:dyDescent="0.25">
      <c r="A156" s="32" t="s">
        <v>69</v>
      </c>
      <c r="B156" s="32">
        <v>1</v>
      </c>
      <c r="C156" s="32" t="s">
        <v>166</v>
      </c>
      <c r="D156" s="36">
        <v>8736</v>
      </c>
      <c r="E156" s="46">
        <f t="shared" si="6"/>
        <v>39.709090909090911</v>
      </c>
      <c r="F156" s="39">
        <v>6</v>
      </c>
      <c r="G156" s="47">
        <v>6</v>
      </c>
      <c r="H156" s="47">
        <v>6</v>
      </c>
      <c r="I156" s="47">
        <v>50</v>
      </c>
    </row>
    <row r="157" spans="1:10" ht="13.2" x14ac:dyDescent="0.25">
      <c r="A157" s="4"/>
      <c r="B157" s="4"/>
      <c r="C157" s="52" t="s">
        <v>230</v>
      </c>
      <c r="D157" s="53">
        <f>SUM(D150:D156)</f>
        <v>21936</v>
      </c>
      <c r="E157" s="53">
        <f>SUM(E150:E156)</f>
        <v>99.709090909090918</v>
      </c>
      <c r="F157" s="16"/>
      <c r="G157" s="16"/>
      <c r="H157" s="16"/>
    </row>
    <row r="158" spans="1:10" ht="13.2" x14ac:dyDescent="0.25">
      <c r="A158" s="4"/>
      <c r="B158" s="4"/>
      <c r="C158" s="56"/>
      <c r="D158" s="57"/>
      <c r="E158" s="57"/>
      <c r="F158" s="16"/>
      <c r="G158" s="16"/>
      <c r="H158" s="16"/>
    </row>
    <row r="159" spans="1:10" ht="13.2" x14ac:dyDescent="0.25">
      <c r="A159" s="55" t="s">
        <v>214</v>
      </c>
      <c r="B159" s="4"/>
      <c r="C159" s="4"/>
      <c r="D159" s="6"/>
      <c r="E159" s="7"/>
      <c r="F159" s="16"/>
      <c r="G159" s="16"/>
      <c r="H159" s="16"/>
    </row>
    <row r="160" spans="1:10" ht="13.2" x14ac:dyDescent="0.25">
      <c r="A160" s="1" t="s">
        <v>167</v>
      </c>
      <c r="B160" s="1" t="s">
        <v>1</v>
      </c>
      <c r="C160" s="2" t="s">
        <v>2</v>
      </c>
      <c r="D160" s="2" t="s">
        <v>3</v>
      </c>
      <c r="E160" s="3" t="s">
        <v>4</v>
      </c>
      <c r="F160" s="22" t="s">
        <v>179</v>
      </c>
      <c r="G160" s="18" t="s">
        <v>180</v>
      </c>
      <c r="H160" s="23" t="s">
        <v>181</v>
      </c>
      <c r="I160" s="18" t="s">
        <v>182</v>
      </c>
      <c r="J160" s="7"/>
    </row>
    <row r="161" spans="1:9" ht="13.2" x14ac:dyDescent="0.25">
      <c r="A161" s="32" t="s">
        <v>69</v>
      </c>
      <c r="B161" s="32">
        <v>1</v>
      </c>
      <c r="C161" s="32" t="s">
        <v>168</v>
      </c>
      <c r="D161" s="36">
        <v>8736</v>
      </c>
      <c r="E161" s="46">
        <f t="shared" ref="E161:E170" si="7">D161/220</f>
        <v>39.709090909090911</v>
      </c>
      <c r="F161" s="39">
        <v>6</v>
      </c>
      <c r="G161" s="47">
        <v>6</v>
      </c>
      <c r="H161" s="47">
        <v>6</v>
      </c>
      <c r="I161" s="47">
        <v>50</v>
      </c>
    </row>
    <row r="162" spans="1:9" ht="13.2" x14ac:dyDescent="0.25">
      <c r="A162" s="32" t="s">
        <v>72</v>
      </c>
      <c r="B162" s="32">
        <v>1</v>
      </c>
      <c r="C162" s="32" t="s">
        <v>169</v>
      </c>
      <c r="D162" s="36">
        <v>2200</v>
      </c>
      <c r="E162" s="46">
        <f t="shared" si="7"/>
        <v>10</v>
      </c>
      <c r="F162" s="39">
        <v>1.5</v>
      </c>
      <c r="G162" s="47">
        <v>1.5</v>
      </c>
      <c r="H162" s="47">
        <v>1.5</v>
      </c>
      <c r="I162" s="47">
        <v>12</v>
      </c>
    </row>
    <row r="163" spans="1:9" ht="13.2" x14ac:dyDescent="0.25">
      <c r="A163" s="32" t="s">
        <v>72</v>
      </c>
      <c r="B163" s="32">
        <v>1</v>
      </c>
      <c r="C163" s="32" t="s">
        <v>170</v>
      </c>
      <c r="D163" s="36">
        <v>2200</v>
      </c>
      <c r="E163" s="46">
        <f t="shared" si="7"/>
        <v>10</v>
      </c>
      <c r="F163" s="39">
        <v>1.5</v>
      </c>
      <c r="G163" s="47">
        <v>1.5</v>
      </c>
      <c r="H163" s="47">
        <v>1.5</v>
      </c>
      <c r="I163" s="47">
        <v>12</v>
      </c>
    </row>
    <row r="164" spans="1:9" ht="13.2" x14ac:dyDescent="0.25">
      <c r="A164" s="32" t="s">
        <v>72</v>
      </c>
      <c r="B164" s="32">
        <v>1</v>
      </c>
      <c r="C164" s="32" t="s">
        <v>171</v>
      </c>
      <c r="D164" s="36">
        <v>2200</v>
      </c>
      <c r="E164" s="46">
        <f t="shared" si="7"/>
        <v>10</v>
      </c>
      <c r="F164" s="39">
        <v>1.5</v>
      </c>
      <c r="G164" s="47">
        <v>1.5</v>
      </c>
      <c r="H164" s="47">
        <v>1.5</v>
      </c>
      <c r="I164" s="47">
        <v>12</v>
      </c>
    </row>
    <row r="165" spans="1:9" ht="13.2" x14ac:dyDescent="0.25">
      <c r="A165" s="32" t="s">
        <v>72</v>
      </c>
      <c r="B165" s="32">
        <v>1</v>
      </c>
      <c r="C165" s="32" t="s">
        <v>172</v>
      </c>
      <c r="D165" s="36">
        <v>2200</v>
      </c>
      <c r="E165" s="46">
        <f t="shared" si="7"/>
        <v>10</v>
      </c>
      <c r="F165" s="39">
        <v>1.5</v>
      </c>
      <c r="G165" s="47">
        <v>1.5</v>
      </c>
      <c r="H165" s="47">
        <v>1.5</v>
      </c>
      <c r="I165" s="47">
        <v>12</v>
      </c>
    </row>
    <row r="166" spans="1:9" ht="13.2" x14ac:dyDescent="0.25">
      <c r="A166" s="32" t="s">
        <v>72</v>
      </c>
      <c r="B166" s="32">
        <v>1</v>
      </c>
      <c r="C166" s="32" t="s">
        <v>173</v>
      </c>
      <c r="D166" s="36">
        <v>2200</v>
      </c>
      <c r="E166" s="46">
        <f t="shared" si="7"/>
        <v>10</v>
      </c>
      <c r="F166" s="39">
        <v>1.5</v>
      </c>
      <c r="G166" s="47">
        <v>1.5</v>
      </c>
      <c r="H166" s="47">
        <v>1.5</v>
      </c>
      <c r="I166" s="47">
        <v>12</v>
      </c>
    </row>
    <row r="167" spans="1:9" ht="13.2" x14ac:dyDescent="0.25">
      <c r="A167" s="32" t="s">
        <v>72</v>
      </c>
      <c r="B167" s="32">
        <v>1</v>
      </c>
      <c r="C167" s="32" t="s">
        <v>174</v>
      </c>
      <c r="D167" s="36">
        <v>2200</v>
      </c>
      <c r="E167" s="46">
        <f t="shared" si="7"/>
        <v>10</v>
      </c>
      <c r="F167" s="39">
        <v>1.5</v>
      </c>
      <c r="G167" s="47">
        <v>1.5</v>
      </c>
      <c r="H167" s="47">
        <v>1.5</v>
      </c>
      <c r="I167" s="47">
        <v>12</v>
      </c>
    </row>
    <row r="168" spans="1:9" ht="13.2" x14ac:dyDescent="0.25">
      <c r="A168" s="32" t="s">
        <v>72</v>
      </c>
      <c r="B168" s="32">
        <v>1</v>
      </c>
      <c r="C168" s="32" t="s">
        <v>175</v>
      </c>
      <c r="D168" s="36">
        <v>2200</v>
      </c>
      <c r="E168" s="46">
        <f t="shared" si="7"/>
        <v>10</v>
      </c>
      <c r="F168" s="39">
        <v>1.5</v>
      </c>
      <c r="G168" s="47">
        <v>1.5</v>
      </c>
      <c r="H168" s="47">
        <v>1.5</v>
      </c>
      <c r="I168" s="47">
        <v>12</v>
      </c>
    </row>
    <row r="169" spans="1:9" ht="13.2" x14ac:dyDescent="0.25">
      <c r="A169" s="32" t="s">
        <v>72</v>
      </c>
      <c r="B169" s="32">
        <v>1</v>
      </c>
      <c r="C169" s="32" t="s">
        <v>176</v>
      </c>
      <c r="D169" s="36">
        <v>2200</v>
      </c>
      <c r="E169" s="46">
        <f t="shared" si="7"/>
        <v>10</v>
      </c>
      <c r="F169" s="39">
        <v>1.5</v>
      </c>
      <c r="G169" s="47">
        <v>1.5</v>
      </c>
      <c r="H169" s="47">
        <v>1.5</v>
      </c>
      <c r="I169" s="47">
        <v>12</v>
      </c>
    </row>
    <row r="170" spans="1:9" ht="13.2" x14ac:dyDescent="0.25">
      <c r="A170" s="32" t="s">
        <v>72</v>
      </c>
      <c r="B170" s="32">
        <v>1</v>
      </c>
      <c r="C170" s="32" t="s">
        <v>177</v>
      </c>
      <c r="D170" s="36">
        <v>2200</v>
      </c>
      <c r="E170" s="46">
        <f t="shared" si="7"/>
        <v>10</v>
      </c>
      <c r="F170" s="39">
        <v>1.5</v>
      </c>
      <c r="G170" s="47">
        <v>1.5</v>
      </c>
      <c r="H170" s="47">
        <v>1.5</v>
      </c>
      <c r="I170" s="47">
        <v>12</v>
      </c>
    </row>
    <row r="171" spans="1:9" ht="13.2" x14ac:dyDescent="0.25">
      <c r="A171" s="4"/>
      <c r="B171" s="4"/>
      <c r="C171" s="52" t="s">
        <v>230</v>
      </c>
      <c r="D171" s="54">
        <f>SUM(D161:D170)</f>
        <v>28536</v>
      </c>
      <c r="E171" s="54">
        <f>SUM(E161:E170)</f>
        <v>129.70909090909092</v>
      </c>
      <c r="F171" s="16"/>
    </row>
    <row r="172" spans="1:9" ht="13.2" x14ac:dyDescent="0.25">
      <c r="A172" s="4"/>
      <c r="B172" s="4"/>
      <c r="C172" s="4"/>
      <c r="E172" s="7"/>
      <c r="F172" s="16"/>
    </row>
    <row r="173" spans="1:9" ht="13.2" x14ac:dyDescent="0.25">
      <c r="A173" s="4"/>
      <c r="B173" s="4"/>
      <c r="C173" s="4"/>
      <c r="E173" s="7"/>
      <c r="F173" s="16"/>
    </row>
    <row r="174" spans="1:9" ht="13.2" x14ac:dyDescent="0.25">
      <c r="A174" s="4"/>
      <c r="B174" s="4"/>
      <c r="C174" s="4"/>
      <c r="E174" s="7"/>
      <c r="F174" s="16"/>
    </row>
    <row r="175" spans="1:9" ht="13.2" x14ac:dyDescent="0.25">
      <c r="A175" s="4"/>
      <c r="B175" s="4"/>
      <c r="C175" s="4"/>
      <c r="E175" s="7"/>
      <c r="F175" s="16"/>
    </row>
    <row r="176" spans="1:9" ht="13.2" x14ac:dyDescent="0.25">
      <c r="A176" s="4"/>
      <c r="B176" s="4"/>
      <c r="C176" s="4"/>
      <c r="E176" s="7"/>
      <c r="F176" s="16"/>
    </row>
    <row r="177" spans="1:6" ht="13.2" x14ac:dyDescent="0.25">
      <c r="A177" s="4"/>
      <c r="B177" s="4"/>
      <c r="C177" s="4"/>
      <c r="E177" s="7"/>
      <c r="F177" s="16"/>
    </row>
    <row r="178" spans="1:6" ht="13.2" x14ac:dyDescent="0.25">
      <c r="A178" s="4"/>
      <c r="B178" s="4"/>
      <c r="C178" s="4"/>
      <c r="E178" s="7"/>
      <c r="F178" s="16"/>
    </row>
    <row r="179" spans="1:6" ht="13.2" x14ac:dyDescent="0.25">
      <c r="A179" s="4"/>
      <c r="B179" s="4"/>
      <c r="C179" s="4"/>
      <c r="E179" s="7"/>
      <c r="F179" s="16"/>
    </row>
    <row r="180" spans="1:6" ht="13.2" x14ac:dyDescent="0.25">
      <c r="A180" s="4"/>
      <c r="B180" s="4"/>
      <c r="C180" s="4"/>
      <c r="E180" s="7"/>
      <c r="F180" s="16"/>
    </row>
    <row r="181" spans="1:6" ht="13.2" x14ac:dyDescent="0.25">
      <c r="A181" s="4"/>
      <c r="B181" s="4"/>
      <c r="C181" s="4"/>
      <c r="E181" s="7"/>
      <c r="F181" s="16"/>
    </row>
    <row r="182" spans="1:6" ht="13.2" x14ac:dyDescent="0.25">
      <c r="A182" s="4"/>
      <c r="B182" s="4"/>
      <c r="C182" s="4"/>
      <c r="E182" s="7"/>
      <c r="F182" s="16"/>
    </row>
    <row r="183" spans="1:6" ht="13.2" x14ac:dyDescent="0.25">
      <c r="A183" s="4"/>
      <c r="B183" s="4"/>
      <c r="C183" s="4"/>
      <c r="E183" s="7"/>
      <c r="F183" s="16"/>
    </row>
    <row r="184" spans="1:6" ht="13.2" x14ac:dyDescent="0.25">
      <c r="A184" s="4"/>
      <c r="B184" s="4"/>
      <c r="C184" s="4"/>
      <c r="E184" s="7"/>
      <c r="F184" s="16"/>
    </row>
    <row r="185" spans="1:6" ht="13.2" x14ac:dyDescent="0.25">
      <c r="A185" s="4"/>
      <c r="B185" s="4"/>
      <c r="C185" s="4"/>
      <c r="E185" s="7"/>
      <c r="F185" s="16"/>
    </row>
    <row r="186" spans="1:6" ht="13.2" x14ac:dyDescent="0.25">
      <c r="A186" s="4"/>
      <c r="B186" s="4"/>
      <c r="C186" s="4"/>
      <c r="E186" s="7"/>
      <c r="F186" s="16"/>
    </row>
    <row r="187" spans="1:6" ht="13.2" x14ac:dyDescent="0.25">
      <c r="A187" s="4"/>
      <c r="B187" s="4"/>
      <c r="C187" s="4"/>
      <c r="E187" s="7"/>
      <c r="F187" s="16"/>
    </row>
    <row r="188" spans="1:6" ht="13.2" x14ac:dyDescent="0.25">
      <c r="A188" s="4"/>
      <c r="B188" s="4"/>
      <c r="C188" s="4"/>
      <c r="E188" s="7"/>
      <c r="F188" s="16"/>
    </row>
    <row r="189" spans="1:6" ht="13.2" x14ac:dyDescent="0.25">
      <c r="A189" s="4"/>
      <c r="B189" s="4"/>
      <c r="C189" s="4"/>
      <c r="E189" s="7"/>
      <c r="F189" s="16"/>
    </row>
    <row r="190" spans="1:6" ht="13.2" x14ac:dyDescent="0.25">
      <c r="A190" s="4"/>
      <c r="B190" s="4"/>
      <c r="C190" s="4"/>
      <c r="E190" s="7"/>
      <c r="F190" s="16"/>
    </row>
    <row r="191" spans="1:6" ht="13.2" x14ac:dyDescent="0.25">
      <c r="A191" s="4"/>
      <c r="B191" s="4"/>
      <c r="C191" s="4"/>
      <c r="E191" s="7"/>
      <c r="F191" s="16"/>
    </row>
    <row r="192" spans="1:6" ht="13.2" x14ac:dyDescent="0.25">
      <c r="A192" s="4"/>
      <c r="B192" s="4"/>
      <c r="C192" s="4"/>
      <c r="E192" s="7"/>
      <c r="F192" s="16"/>
    </row>
    <row r="193" spans="1:6" ht="13.2" x14ac:dyDescent="0.25">
      <c r="A193" s="4"/>
      <c r="B193" s="4"/>
      <c r="C193" s="4"/>
      <c r="E193" s="7"/>
      <c r="F193" s="16"/>
    </row>
    <row r="194" spans="1:6" ht="13.2" x14ac:dyDescent="0.25">
      <c r="A194" s="4"/>
      <c r="B194" s="4"/>
      <c r="C194" s="4"/>
      <c r="E194" s="7"/>
      <c r="F194" s="16"/>
    </row>
    <row r="195" spans="1:6" ht="13.2" x14ac:dyDescent="0.25">
      <c r="A195" s="4"/>
      <c r="B195" s="4"/>
      <c r="C195" s="4"/>
      <c r="E195" s="7"/>
      <c r="F195" s="16"/>
    </row>
    <row r="196" spans="1:6" ht="13.2" x14ac:dyDescent="0.25">
      <c r="A196" s="4"/>
      <c r="B196" s="4"/>
      <c r="C196" s="4"/>
      <c r="E196" s="7"/>
      <c r="F196" s="16"/>
    </row>
    <row r="197" spans="1:6" ht="13.2" x14ac:dyDescent="0.25">
      <c r="A197" s="4"/>
      <c r="B197" s="4"/>
      <c r="C197" s="4"/>
      <c r="E197" s="7"/>
      <c r="F197" s="16"/>
    </row>
    <row r="198" spans="1:6" ht="13.2" x14ac:dyDescent="0.25">
      <c r="A198" s="4"/>
      <c r="B198" s="4"/>
      <c r="C198" s="4"/>
      <c r="E198" s="7"/>
      <c r="F198" s="16"/>
    </row>
    <row r="199" spans="1:6" ht="13.2" x14ac:dyDescent="0.25">
      <c r="A199" s="4"/>
      <c r="B199" s="4"/>
      <c r="C199" s="4"/>
      <c r="E199" s="7"/>
      <c r="F199" s="16"/>
    </row>
    <row r="200" spans="1:6" ht="13.2" x14ac:dyDescent="0.25">
      <c r="A200" s="4"/>
      <c r="B200" s="4"/>
      <c r="C200" s="4"/>
      <c r="E200" s="7"/>
      <c r="F200" s="16"/>
    </row>
    <row r="201" spans="1:6" ht="13.2" x14ac:dyDescent="0.25">
      <c r="A201" s="4"/>
      <c r="B201" s="4"/>
      <c r="C201" s="4"/>
      <c r="E201" s="7"/>
      <c r="F201" s="16"/>
    </row>
    <row r="202" spans="1:6" ht="13.2" x14ac:dyDescent="0.25">
      <c r="A202" s="4"/>
      <c r="B202" s="4"/>
      <c r="C202" s="4"/>
      <c r="E202" s="7"/>
      <c r="F202" s="16"/>
    </row>
    <row r="203" spans="1:6" ht="13.2" x14ac:dyDescent="0.25">
      <c r="A203" s="4"/>
      <c r="B203" s="4"/>
      <c r="C203" s="4"/>
      <c r="E203" s="7"/>
      <c r="F203" s="16"/>
    </row>
    <row r="204" spans="1:6" ht="13.2" x14ac:dyDescent="0.25">
      <c r="A204" s="4"/>
      <c r="B204" s="4"/>
      <c r="C204" s="4"/>
      <c r="E204" s="7"/>
      <c r="F204" s="16"/>
    </row>
    <row r="205" spans="1:6" ht="13.2" x14ac:dyDescent="0.25">
      <c r="A205" s="4"/>
      <c r="B205" s="4"/>
      <c r="C205" s="4"/>
      <c r="E205" s="7"/>
      <c r="F205" s="16"/>
    </row>
    <row r="206" spans="1:6" ht="13.2" x14ac:dyDescent="0.25">
      <c r="A206" s="4"/>
      <c r="B206" s="4"/>
      <c r="C206" s="4"/>
      <c r="E206" s="7"/>
      <c r="F206" s="16"/>
    </row>
    <row r="207" spans="1:6" ht="13.2" x14ac:dyDescent="0.25">
      <c r="A207" s="4"/>
      <c r="B207" s="4"/>
      <c r="C207" s="4"/>
      <c r="E207" s="7"/>
      <c r="F207" s="16"/>
    </row>
    <row r="208" spans="1:6" ht="13.2" x14ac:dyDescent="0.25">
      <c r="A208" s="4"/>
      <c r="B208" s="4"/>
      <c r="C208" s="4"/>
      <c r="E208" s="7"/>
      <c r="F208" s="16"/>
    </row>
    <row r="209" spans="1:6" ht="13.2" x14ac:dyDescent="0.25">
      <c r="A209" s="4"/>
      <c r="B209" s="4"/>
      <c r="C209" s="4"/>
      <c r="E209" s="7"/>
      <c r="F209" s="16"/>
    </row>
    <row r="210" spans="1:6" ht="13.2" x14ac:dyDescent="0.25">
      <c r="A210" s="4"/>
      <c r="B210" s="4"/>
      <c r="C210" s="4"/>
      <c r="E210" s="7"/>
      <c r="F210" s="16"/>
    </row>
    <row r="211" spans="1:6" ht="13.2" x14ac:dyDescent="0.25">
      <c r="A211" s="4"/>
      <c r="B211" s="4"/>
      <c r="C211" s="4"/>
      <c r="E211" s="7"/>
      <c r="F211" s="16"/>
    </row>
    <row r="212" spans="1:6" ht="13.2" x14ac:dyDescent="0.25">
      <c r="A212" s="4"/>
      <c r="B212" s="4"/>
      <c r="C212" s="4"/>
      <c r="E212" s="7"/>
      <c r="F212" s="16"/>
    </row>
    <row r="213" spans="1:6" ht="13.2" x14ac:dyDescent="0.25">
      <c r="A213" s="4"/>
      <c r="B213" s="4"/>
      <c r="C213" s="4"/>
      <c r="E213" s="7"/>
      <c r="F213" s="16"/>
    </row>
    <row r="214" spans="1:6" ht="13.2" x14ac:dyDescent="0.25">
      <c r="A214" s="4"/>
      <c r="B214" s="4"/>
      <c r="C214" s="4"/>
      <c r="E214" s="7"/>
      <c r="F214" s="16"/>
    </row>
    <row r="215" spans="1:6" ht="13.2" x14ac:dyDescent="0.25">
      <c r="A215" s="4"/>
      <c r="B215" s="4"/>
      <c r="C215" s="4"/>
      <c r="E215" s="7"/>
      <c r="F215" s="16"/>
    </row>
    <row r="216" spans="1:6" ht="13.2" x14ac:dyDescent="0.25">
      <c r="A216" s="4"/>
      <c r="B216" s="4"/>
      <c r="C216" s="4"/>
      <c r="E216" s="7"/>
      <c r="F216" s="16"/>
    </row>
    <row r="217" spans="1:6" ht="13.2" x14ac:dyDescent="0.25">
      <c r="A217" s="4"/>
      <c r="B217" s="4"/>
      <c r="C217" s="4"/>
      <c r="E217" s="7"/>
      <c r="F217" s="16"/>
    </row>
    <row r="218" spans="1:6" ht="13.2" x14ac:dyDescent="0.25">
      <c r="A218" s="4"/>
      <c r="B218" s="4"/>
      <c r="C218" s="4"/>
      <c r="E218" s="7"/>
      <c r="F218" s="16"/>
    </row>
    <row r="219" spans="1:6" ht="13.2" x14ac:dyDescent="0.25">
      <c r="A219" s="4"/>
      <c r="B219" s="4"/>
      <c r="C219" s="4"/>
      <c r="E219" s="7"/>
      <c r="F219" s="16"/>
    </row>
    <row r="220" spans="1:6" ht="13.2" x14ac:dyDescent="0.25">
      <c r="A220" s="4"/>
      <c r="B220" s="4"/>
      <c r="C220" s="4"/>
      <c r="E220" s="7"/>
      <c r="F220" s="16"/>
    </row>
    <row r="221" spans="1:6" ht="13.2" x14ac:dyDescent="0.25">
      <c r="A221" s="4"/>
      <c r="B221" s="4"/>
      <c r="C221" s="4"/>
      <c r="E221" s="7"/>
      <c r="F221" s="16"/>
    </row>
    <row r="222" spans="1:6" ht="13.2" x14ac:dyDescent="0.25">
      <c r="A222" s="4"/>
      <c r="B222" s="4"/>
      <c r="C222" s="4"/>
      <c r="E222" s="7"/>
      <c r="F222" s="16"/>
    </row>
    <row r="223" spans="1:6" ht="13.2" x14ac:dyDescent="0.25">
      <c r="A223" s="4"/>
      <c r="B223" s="4"/>
      <c r="C223" s="4"/>
      <c r="E223" s="7"/>
      <c r="F223" s="16"/>
    </row>
    <row r="224" spans="1:6" ht="13.2" x14ac:dyDescent="0.25">
      <c r="A224" s="4"/>
      <c r="B224" s="4"/>
      <c r="C224" s="4"/>
      <c r="E224" s="7"/>
      <c r="F224" s="16"/>
    </row>
    <row r="225" spans="1:6" ht="13.2" x14ac:dyDescent="0.25">
      <c r="A225" s="4"/>
      <c r="B225" s="4"/>
      <c r="C225" s="4"/>
      <c r="E225" s="7"/>
      <c r="F225" s="16"/>
    </row>
    <row r="226" spans="1:6" ht="13.2" x14ac:dyDescent="0.25">
      <c r="A226" s="4"/>
      <c r="B226" s="4"/>
      <c r="C226" s="4"/>
      <c r="E226" s="7"/>
      <c r="F226" s="16"/>
    </row>
    <row r="227" spans="1:6" ht="13.2" x14ac:dyDescent="0.25">
      <c r="A227" s="4"/>
      <c r="B227" s="4"/>
      <c r="C227" s="4"/>
      <c r="E227" s="7"/>
      <c r="F227" s="16"/>
    </row>
    <row r="228" spans="1:6" ht="13.2" x14ac:dyDescent="0.25">
      <c r="A228" s="4"/>
      <c r="B228" s="4"/>
      <c r="C228" s="4"/>
      <c r="E228" s="7"/>
      <c r="F228" s="16"/>
    </row>
    <row r="229" spans="1:6" ht="13.2" x14ac:dyDescent="0.25">
      <c r="A229" s="4"/>
      <c r="B229" s="4"/>
      <c r="C229" s="4"/>
      <c r="E229" s="7"/>
      <c r="F229" s="16"/>
    </row>
    <row r="230" spans="1:6" ht="13.2" x14ac:dyDescent="0.25">
      <c r="A230" s="4"/>
      <c r="B230" s="4"/>
      <c r="C230" s="4"/>
      <c r="E230" s="7"/>
      <c r="F230" s="16"/>
    </row>
    <row r="231" spans="1:6" ht="13.2" x14ac:dyDescent="0.25">
      <c r="A231" s="4"/>
      <c r="B231" s="4"/>
      <c r="C231" s="4"/>
      <c r="E231" s="7"/>
      <c r="F231" s="16"/>
    </row>
    <row r="232" spans="1:6" ht="13.2" x14ac:dyDescent="0.25">
      <c r="A232" s="4"/>
      <c r="B232" s="4"/>
      <c r="C232" s="4"/>
      <c r="E232" s="7"/>
      <c r="F232" s="16"/>
    </row>
    <row r="233" spans="1:6" ht="13.2" x14ac:dyDescent="0.25">
      <c r="A233" s="4"/>
      <c r="B233" s="4"/>
      <c r="C233" s="4"/>
      <c r="E233" s="7"/>
      <c r="F233" s="16"/>
    </row>
    <row r="234" spans="1:6" ht="13.2" x14ac:dyDescent="0.25">
      <c r="A234" s="4"/>
      <c r="B234" s="4"/>
      <c r="C234" s="4"/>
      <c r="E234" s="7"/>
      <c r="F234" s="16"/>
    </row>
    <row r="235" spans="1:6" ht="13.2" x14ac:dyDescent="0.25">
      <c r="A235" s="4"/>
      <c r="B235" s="4"/>
      <c r="C235" s="4"/>
      <c r="E235" s="7"/>
      <c r="F235" s="16"/>
    </row>
    <row r="236" spans="1:6" ht="13.2" x14ac:dyDescent="0.25">
      <c r="A236" s="4"/>
      <c r="B236" s="4"/>
      <c r="C236" s="4"/>
      <c r="E236" s="7"/>
      <c r="F236" s="16"/>
    </row>
    <row r="237" spans="1:6" ht="13.2" x14ac:dyDescent="0.25">
      <c r="A237" s="4"/>
      <c r="B237" s="4"/>
      <c r="C237" s="4"/>
      <c r="E237" s="7"/>
      <c r="F237" s="16"/>
    </row>
    <row r="238" spans="1:6" ht="13.2" x14ac:dyDescent="0.25">
      <c r="A238" s="4"/>
      <c r="B238" s="4"/>
      <c r="C238" s="4"/>
      <c r="E238" s="7"/>
      <c r="F238" s="16"/>
    </row>
    <row r="239" spans="1:6" ht="13.2" x14ac:dyDescent="0.25">
      <c r="A239" s="4"/>
      <c r="B239" s="4"/>
      <c r="C239" s="4"/>
      <c r="E239" s="7"/>
      <c r="F239" s="16"/>
    </row>
    <row r="240" spans="1:6" ht="13.2" x14ac:dyDescent="0.25">
      <c r="A240" s="4"/>
      <c r="B240" s="4"/>
      <c r="C240" s="4"/>
      <c r="E240" s="7"/>
      <c r="F240" s="16"/>
    </row>
    <row r="241" spans="1:6" ht="13.2" x14ac:dyDescent="0.25">
      <c r="A241" s="4"/>
      <c r="B241" s="4"/>
      <c r="C241" s="4"/>
      <c r="E241" s="7"/>
      <c r="F241" s="16"/>
    </row>
    <row r="242" spans="1:6" ht="13.2" x14ac:dyDescent="0.25">
      <c r="A242" s="4"/>
      <c r="B242" s="4"/>
      <c r="C242" s="4"/>
      <c r="E242" s="7"/>
      <c r="F242" s="16"/>
    </row>
    <row r="243" spans="1:6" ht="13.2" x14ac:dyDescent="0.25">
      <c r="A243" s="4"/>
      <c r="B243" s="4"/>
      <c r="C243" s="4"/>
      <c r="E243" s="7"/>
      <c r="F243" s="16"/>
    </row>
    <row r="244" spans="1:6" ht="13.2" x14ac:dyDescent="0.25">
      <c r="A244" s="4"/>
      <c r="B244" s="4"/>
      <c r="C244" s="4"/>
      <c r="E244" s="7"/>
      <c r="F244" s="16"/>
    </row>
    <row r="245" spans="1:6" ht="13.2" x14ac:dyDescent="0.25">
      <c r="A245" s="4"/>
      <c r="B245" s="4"/>
      <c r="C245" s="4"/>
      <c r="E245" s="7"/>
      <c r="F245" s="16"/>
    </row>
    <row r="246" spans="1:6" ht="13.2" x14ac:dyDescent="0.25">
      <c r="A246" s="4"/>
      <c r="B246" s="4"/>
      <c r="C246" s="4"/>
      <c r="E246" s="7"/>
      <c r="F246" s="16"/>
    </row>
    <row r="247" spans="1:6" ht="13.2" x14ac:dyDescent="0.25">
      <c r="A247" s="4"/>
      <c r="B247" s="4"/>
      <c r="C247" s="4"/>
      <c r="E247" s="7"/>
      <c r="F247" s="16"/>
    </row>
    <row r="248" spans="1:6" ht="13.2" x14ac:dyDescent="0.25">
      <c r="A248" s="4"/>
      <c r="B248" s="4"/>
      <c r="C248" s="4"/>
      <c r="E248" s="7"/>
      <c r="F248" s="16"/>
    </row>
    <row r="249" spans="1:6" ht="13.2" x14ac:dyDescent="0.25">
      <c r="A249" s="4"/>
      <c r="B249" s="4"/>
      <c r="C249" s="4"/>
      <c r="E249" s="7"/>
      <c r="F249" s="16"/>
    </row>
    <row r="250" spans="1:6" ht="13.2" x14ac:dyDescent="0.25">
      <c r="A250" s="4"/>
      <c r="B250" s="4"/>
      <c r="C250" s="4"/>
      <c r="E250" s="7"/>
      <c r="F250" s="16"/>
    </row>
    <row r="251" spans="1:6" ht="13.2" x14ac:dyDescent="0.25">
      <c r="A251" s="4"/>
      <c r="B251" s="4"/>
      <c r="C251" s="4"/>
      <c r="E251" s="7"/>
      <c r="F251" s="16"/>
    </row>
    <row r="252" spans="1:6" ht="13.2" x14ac:dyDescent="0.25">
      <c r="A252" s="4"/>
      <c r="B252" s="4"/>
      <c r="C252" s="4"/>
      <c r="E252" s="7"/>
      <c r="F252" s="16"/>
    </row>
    <row r="253" spans="1:6" ht="13.2" x14ac:dyDescent="0.25">
      <c r="A253" s="4"/>
      <c r="B253" s="4"/>
      <c r="C253" s="4"/>
      <c r="E253" s="7"/>
      <c r="F253" s="16"/>
    </row>
    <row r="254" spans="1:6" ht="13.2" x14ac:dyDescent="0.25">
      <c r="A254" s="4"/>
      <c r="B254" s="4"/>
      <c r="C254" s="4"/>
      <c r="E254" s="7"/>
      <c r="F254" s="16"/>
    </row>
    <row r="255" spans="1:6" ht="13.2" x14ac:dyDescent="0.25">
      <c r="A255" s="4"/>
      <c r="B255" s="4"/>
      <c r="C255" s="4"/>
      <c r="E255" s="7"/>
      <c r="F255" s="16"/>
    </row>
    <row r="256" spans="1:6" ht="13.2" x14ac:dyDescent="0.25">
      <c r="A256" s="4"/>
      <c r="B256" s="4"/>
      <c r="C256" s="4"/>
      <c r="E256" s="7"/>
      <c r="F256" s="16"/>
    </row>
    <row r="257" spans="1:6" ht="13.2" x14ac:dyDescent="0.25">
      <c r="A257" s="4"/>
      <c r="B257" s="4"/>
      <c r="C257" s="4"/>
      <c r="E257" s="7"/>
      <c r="F257" s="16"/>
    </row>
    <row r="258" spans="1:6" ht="13.2" x14ac:dyDescent="0.25">
      <c r="A258" s="4"/>
      <c r="B258" s="4"/>
      <c r="C258" s="4"/>
      <c r="E258" s="7"/>
      <c r="F258" s="16"/>
    </row>
    <row r="259" spans="1:6" ht="13.2" x14ac:dyDescent="0.25">
      <c r="A259" s="4"/>
      <c r="B259" s="4"/>
      <c r="C259" s="4"/>
      <c r="E259" s="7"/>
      <c r="F259" s="16"/>
    </row>
    <row r="260" spans="1:6" ht="13.2" x14ac:dyDescent="0.25">
      <c r="A260" s="4"/>
      <c r="B260" s="4"/>
      <c r="C260" s="4"/>
      <c r="E260" s="7"/>
      <c r="F260" s="16"/>
    </row>
    <row r="261" spans="1:6" ht="13.2" x14ac:dyDescent="0.25">
      <c r="A261" s="4"/>
      <c r="B261" s="4"/>
      <c r="C261" s="4"/>
      <c r="E261" s="7"/>
      <c r="F261" s="16"/>
    </row>
    <row r="262" spans="1:6" ht="13.2" x14ac:dyDescent="0.25">
      <c r="A262" s="4"/>
      <c r="B262" s="4"/>
      <c r="C262" s="4"/>
      <c r="E262" s="7"/>
      <c r="F262" s="16"/>
    </row>
    <row r="263" spans="1:6" ht="13.2" x14ac:dyDescent="0.25">
      <c r="A263" s="4"/>
      <c r="B263" s="4"/>
      <c r="C263" s="4"/>
      <c r="E263" s="7"/>
      <c r="F263" s="16"/>
    </row>
    <row r="264" spans="1:6" ht="13.2" x14ac:dyDescent="0.25">
      <c r="A264" s="4"/>
      <c r="B264" s="4"/>
      <c r="C264" s="4"/>
      <c r="E264" s="7"/>
      <c r="F264" s="16"/>
    </row>
    <row r="265" spans="1:6" ht="13.2" x14ac:dyDescent="0.25">
      <c r="A265" s="4"/>
      <c r="B265" s="4"/>
      <c r="C265" s="4"/>
      <c r="E265" s="7"/>
      <c r="F265" s="16"/>
    </row>
    <row r="266" spans="1:6" ht="13.2" x14ac:dyDescent="0.25">
      <c r="A266" s="4"/>
      <c r="B266" s="4"/>
      <c r="C266" s="4"/>
      <c r="E266" s="7"/>
      <c r="F266" s="16"/>
    </row>
    <row r="267" spans="1:6" ht="13.2" x14ac:dyDescent="0.25">
      <c r="A267" s="4"/>
      <c r="B267" s="4"/>
      <c r="C267" s="4"/>
      <c r="E267" s="7"/>
      <c r="F267" s="16"/>
    </row>
    <row r="268" spans="1:6" ht="13.2" x14ac:dyDescent="0.25">
      <c r="A268" s="4"/>
      <c r="B268" s="4"/>
      <c r="C268" s="4"/>
      <c r="E268" s="7"/>
      <c r="F268" s="16"/>
    </row>
    <row r="269" spans="1:6" ht="13.2" x14ac:dyDescent="0.25">
      <c r="A269" s="4"/>
      <c r="B269" s="4"/>
      <c r="C269" s="4"/>
      <c r="E269" s="7"/>
      <c r="F269" s="16"/>
    </row>
    <row r="270" spans="1:6" ht="13.2" x14ac:dyDescent="0.25">
      <c r="A270" s="4"/>
      <c r="B270" s="4"/>
      <c r="C270" s="4"/>
      <c r="E270" s="7"/>
      <c r="F270" s="16"/>
    </row>
    <row r="271" spans="1:6" ht="13.2" x14ac:dyDescent="0.25">
      <c r="A271" s="4"/>
      <c r="B271" s="4"/>
      <c r="C271" s="4"/>
      <c r="E271" s="7"/>
      <c r="F271" s="16"/>
    </row>
    <row r="272" spans="1:6" ht="13.2" x14ac:dyDescent="0.25">
      <c r="A272" s="4"/>
      <c r="B272" s="4"/>
      <c r="C272" s="4"/>
      <c r="E272" s="7"/>
      <c r="F272" s="16"/>
    </row>
    <row r="273" spans="1:6" ht="13.2" x14ac:dyDescent="0.25">
      <c r="A273" s="4"/>
      <c r="B273" s="4"/>
      <c r="C273" s="4"/>
      <c r="E273" s="7"/>
      <c r="F273" s="16"/>
    </row>
    <row r="274" spans="1:6" ht="13.2" x14ac:dyDescent="0.25">
      <c r="A274" s="4"/>
      <c r="B274" s="4"/>
      <c r="C274" s="4"/>
      <c r="E274" s="7"/>
      <c r="F274" s="16"/>
    </row>
    <row r="275" spans="1:6" ht="13.2" x14ac:dyDescent="0.25">
      <c r="A275" s="4"/>
      <c r="B275" s="4"/>
      <c r="C275" s="4"/>
      <c r="E275" s="7"/>
      <c r="F275" s="16"/>
    </row>
    <row r="276" spans="1:6" ht="13.2" x14ac:dyDescent="0.25">
      <c r="A276" s="4"/>
      <c r="B276" s="4"/>
      <c r="C276" s="4"/>
      <c r="E276" s="7"/>
      <c r="F276" s="16"/>
    </row>
    <row r="277" spans="1:6" ht="13.2" x14ac:dyDescent="0.25">
      <c r="A277" s="4"/>
      <c r="B277" s="4"/>
      <c r="C277" s="4"/>
      <c r="E277" s="7"/>
      <c r="F277" s="16"/>
    </row>
    <row r="278" spans="1:6" ht="13.2" x14ac:dyDescent="0.25">
      <c r="A278" s="4"/>
      <c r="B278" s="4"/>
      <c r="C278" s="4"/>
      <c r="E278" s="7"/>
      <c r="F278" s="16"/>
    </row>
    <row r="279" spans="1:6" ht="13.2" x14ac:dyDescent="0.25">
      <c r="A279" s="4"/>
      <c r="B279" s="4"/>
      <c r="C279" s="4"/>
      <c r="E279" s="7"/>
      <c r="F279" s="16"/>
    </row>
    <row r="280" spans="1:6" ht="13.2" x14ac:dyDescent="0.25">
      <c r="A280" s="4"/>
      <c r="B280" s="4"/>
      <c r="C280" s="4"/>
      <c r="E280" s="7"/>
      <c r="F280" s="16"/>
    </row>
    <row r="281" spans="1:6" ht="13.2" x14ac:dyDescent="0.25">
      <c r="A281" s="4"/>
      <c r="B281" s="4"/>
      <c r="C281" s="4"/>
      <c r="E281" s="7"/>
      <c r="F281" s="16"/>
    </row>
    <row r="282" spans="1:6" ht="13.2" x14ac:dyDescent="0.25">
      <c r="A282" s="4"/>
      <c r="B282" s="4"/>
      <c r="C282" s="4"/>
      <c r="E282" s="7"/>
      <c r="F282" s="16"/>
    </row>
    <row r="283" spans="1:6" ht="13.2" x14ac:dyDescent="0.25">
      <c r="A283" s="4"/>
      <c r="B283" s="4"/>
      <c r="C283" s="4"/>
      <c r="E283" s="7"/>
      <c r="F283" s="16"/>
    </row>
    <row r="284" spans="1:6" ht="13.2" x14ac:dyDescent="0.25">
      <c r="A284" s="4"/>
      <c r="B284" s="4"/>
      <c r="C284" s="4"/>
      <c r="E284" s="7"/>
      <c r="F284" s="16"/>
    </row>
    <row r="285" spans="1:6" ht="13.2" x14ac:dyDescent="0.25">
      <c r="A285" s="4"/>
      <c r="B285" s="4"/>
      <c r="C285" s="4"/>
      <c r="E285" s="7"/>
      <c r="F285" s="16"/>
    </row>
    <row r="286" spans="1:6" ht="13.2" x14ac:dyDescent="0.25">
      <c r="A286" s="4"/>
      <c r="B286" s="4"/>
      <c r="C286" s="4"/>
      <c r="E286" s="7"/>
      <c r="F286" s="16"/>
    </row>
    <row r="287" spans="1:6" ht="13.2" x14ac:dyDescent="0.25">
      <c r="A287" s="4"/>
      <c r="B287" s="4"/>
      <c r="C287" s="4"/>
      <c r="E287" s="7"/>
      <c r="F287" s="16"/>
    </row>
    <row r="288" spans="1:6" ht="13.2" x14ac:dyDescent="0.25">
      <c r="A288" s="4"/>
      <c r="B288" s="4"/>
      <c r="C288" s="4"/>
      <c r="E288" s="7"/>
      <c r="F288" s="16"/>
    </row>
    <row r="289" spans="1:6" ht="13.2" x14ac:dyDescent="0.25">
      <c r="A289" s="4"/>
      <c r="B289" s="4"/>
      <c r="C289" s="4"/>
      <c r="E289" s="7"/>
      <c r="F289" s="16"/>
    </row>
    <row r="290" spans="1:6" ht="13.2" x14ac:dyDescent="0.25">
      <c r="A290" s="4"/>
      <c r="B290" s="4"/>
      <c r="C290" s="4"/>
      <c r="E290" s="7"/>
      <c r="F290" s="16"/>
    </row>
    <row r="291" spans="1:6" ht="13.2" x14ac:dyDescent="0.25">
      <c r="A291" s="4"/>
      <c r="B291" s="4"/>
      <c r="C291" s="4"/>
      <c r="E291" s="7"/>
      <c r="F291" s="16"/>
    </row>
    <row r="292" spans="1:6" ht="13.2" x14ac:dyDescent="0.25">
      <c r="A292" s="4"/>
      <c r="B292" s="4"/>
      <c r="C292" s="4"/>
      <c r="E292" s="7"/>
      <c r="F292" s="16"/>
    </row>
    <row r="293" spans="1:6" ht="13.2" x14ac:dyDescent="0.25">
      <c r="A293" s="4"/>
      <c r="B293" s="4"/>
      <c r="C293" s="4"/>
      <c r="E293" s="7"/>
      <c r="F293" s="16"/>
    </row>
    <row r="294" spans="1:6" ht="13.2" x14ac:dyDescent="0.25">
      <c r="A294" s="4"/>
      <c r="B294" s="4"/>
      <c r="C294" s="4"/>
      <c r="E294" s="7"/>
      <c r="F294" s="16"/>
    </row>
    <row r="295" spans="1:6" ht="13.2" x14ac:dyDescent="0.25">
      <c r="A295" s="4"/>
      <c r="B295" s="4"/>
      <c r="C295" s="4"/>
      <c r="E295" s="7"/>
      <c r="F295" s="16"/>
    </row>
    <row r="296" spans="1:6" ht="13.2" x14ac:dyDescent="0.25">
      <c r="A296" s="4"/>
      <c r="B296" s="4"/>
      <c r="C296" s="4"/>
      <c r="E296" s="7"/>
      <c r="F296" s="16"/>
    </row>
    <row r="297" spans="1:6" ht="13.2" x14ac:dyDescent="0.25">
      <c r="A297" s="4"/>
      <c r="B297" s="4"/>
      <c r="C297" s="4"/>
      <c r="E297" s="7"/>
      <c r="F297" s="16"/>
    </row>
    <row r="298" spans="1:6" ht="13.2" x14ac:dyDescent="0.25">
      <c r="A298" s="4"/>
      <c r="B298" s="4"/>
      <c r="C298" s="4"/>
      <c r="E298" s="7"/>
      <c r="F298" s="16"/>
    </row>
    <row r="299" spans="1:6" ht="13.2" x14ac:dyDescent="0.25">
      <c r="A299" s="4"/>
      <c r="B299" s="4"/>
      <c r="C299" s="4"/>
      <c r="E299" s="7"/>
      <c r="F299" s="16"/>
    </row>
    <row r="300" spans="1:6" ht="13.2" x14ac:dyDescent="0.25">
      <c r="A300" s="4"/>
      <c r="B300" s="4"/>
      <c r="C300" s="4"/>
      <c r="E300" s="7"/>
      <c r="F300" s="16"/>
    </row>
    <row r="301" spans="1:6" ht="13.2" x14ac:dyDescent="0.25">
      <c r="A301" s="4"/>
      <c r="B301" s="4"/>
      <c r="C301" s="4"/>
      <c r="E301" s="7"/>
      <c r="F301" s="16"/>
    </row>
    <row r="302" spans="1:6" ht="13.2" x14ac:dyDescent="0.25">
      <c r="A302" s="4"/>
      <c r="B302" s="4"/>
      <c r="C302" s="4"/>
      <c r="E302" s="7"/>
      <c r="F302" s="16"/>
    </row>
    <row r="303" spans="1:6" ht="13.2" x14ac:dyDescent="0.25">
      <c r="A303" s="4"/>
      <c r="B303" s="4"/>
      <c r="C303" s="4"/>
      <c r="E303" s="7"/>
      <c r="F303" s="16"/>
    </row>
    <row r="304" spans="1:6" ht="13.2" x14ac:dyDescent="0.25">
      <c r="A304" s="4"/>
      <c r="B304" s="4"/>
      <c r="C304" s="4"/>
      <c r="E304" s="7"/>
      <c r="F304" s="16"/>
    </row>
    <row r="305" spans="1:6" ht="13.2" x14ac:dyDescent="0.25">
      <c r="A305" s="4"/>
      <c r="B305" s="4"/>
      <c r="C305" s="4"/>
      <c r="E305" s="7"/>
      <c r="F305" s="16"/>
    </row>
    <row r="306" spans="1:6" ht="13.2" x14ac:dyDescent="0.25">
      <c r="A306" s="4"/>
      <c r="B306" s="4"/>
      <c r="C306" s="4"/>
      <c r="E306" s="7"/>
      <c r="F306" s="16"/>
    </row>
    <row r="307" spans="1:6" ht="13.2" x14ac:dyDescent="0.25">
      <c r="A307" s="4"/>
      <c r="B307" s="4"/>
      <c r="C307" s="4"/>
      <c r="E307" s="7"/>
      <c r="F307" s="16"/>
    </row>
    <row r="308" spans="1:6" ht="13.2" x14ac:dyDescent="0.25">
      <c r="A308" s="4"/>
      <c r="B308" s="4"/>
      <c r="C308" s="4"/>
      <c r="E308" s="7"/>
      <c r="F308" s="16"/>
    </row>
    <row r="309" spans="1:6" ht="13.2" x14ac:dyDescent="0.25">
      <c r="A309" s="4"/>
      <c r="B309" s="4"/>
      <c r="C309" s="4"/>
      <c r="E309" s="7"/>
      <c r="F309" s="16"/>
    </row>
    <row r="310" spans="1:6" ht="13.2" x14ac:dyDescent="0.25">
      <c r="A310" s="4"/>
      <c r="B310" s="4"/>
      <c r="C310" s="4"/>
      <c r="E310" s="7"/>
      <c r="F310" s="16"/>
    </row>
    <row r="311" spans="1:6" ht="13.2" x14ac:dyDescent="0.25">
      <c r="A311" s="4"/>
      <c r="B311" s="4"/>
      <c r="C311" s="4"/>
      <c r="E311" s="7"/>
      <c r="F311" s="16"/>
    </row>
    <row r="312" spans="1:6" ht="13.2" x14ac:dyDescent="0.25">
      <c r="A312" s="4"/>
      <c r="B312" s="4"/>
      <c r="C312" s="4"/>
      <c r="E312" s="7"/>
      <c r="F312" s="16"/>
    </row>
    <row r="313" spans="1:6" ht="13.2" x14ac:dyDescent="0.25">
      <c r="A313" s="4"/>
      <c r="B313" s="4"/>
      <c r="C313" s="4"/>
      <c r="E313" s="7"/>
      <c r="F313" s="16"/>
    </row>
    <row r="314" spans="1:6" ht="13.2" x14ac:dyDescent="0.25">
      <c r="A314" s="4"/>
      <c r="B314" s="4"/>
      <c r="C314" s="4"/>
      <c r="E314" s="7"/>
      <c r="F314" s="16"/>
    </row>
    <row r="315" spans="1:6" ht="13.2" x14ac:dyDescent="0.25">
      <c r="A315" s="4"/>
      <c r="B315" s="4"/>
      <c r="C315" s="4"/>
      <c r="E315" s="7"/>
      <c r="F315" s="16"/>
    </row>
    <row r="316" spans="1:6" ht="13.2" x14ac:dyDescent="0.25">
      <c r="A316" s="4"/>
      <c r="B316" s="4"/>
      <c r="C316" s="4"/>
      <c r="E316" s="7"/>
      <c r="F316" s="16"/>
    </row>
    <row r="317" spans="1:6" ht="13.2" x14ac:dyDescent="0.25">
      <c r="A317" s="4"/>
      <c r="B317" s="4"/>
      <c r="C317" s="4"/>
      <c r="E317" s="7"/>
      <c r="F317" s="16"/>
    </row>
    <row r="318" spans="1:6" ht="13.2" x14ac:dyDescent="0.25">
      <c r="A318" s="4"/>
      <c r="B318" s="4"/>
      <c r="C318" s="4"/>
      <c r="E318" s="7"/>
      <c r="F318" s="16"/>
    </row>
    <row r="319" spans="1:6" ht="13.2" x14ac:dyDescent="0.25">
      <c r="A319" s="4"/>
      <c r="B319" s="4"/>
      <c r="C319" s="4"/>
      <c r="E319" s="7"/>
      <c r="F319" s="16"/>
    </row>
    <row r="320" spans="1:6" ht="13.2" x14ac:dyDescent="0.25">
      <c r="A320" s="4"/>
      <c r="B320" s="4"/>
      <c r="C320" s="4"/>
      <c r="E320" s="7"/>
      <c r="F320" s="16"/>
    </row>
    <row r="321" spans="1:6" ht="13.2" x14ac:dyDescent="0.25">
      <c r="A321" s="4"/>
      <c r="B321" s="4"/>
      <c r="C321" s="4"/>
      <c r="E321" s="7"/>
      <c r="F321" s="16"/>
    </row>
    <row r="322" spans="1:6" ht="13.2" x14ac:dyDescent="0.25">
      <c r="A322" s="4"/>
      <c r="B322" s="4"/>
      <c r="C322" s="4"/>
      <c r="E322" s="7"/>
      <c r="F322" s="16"/>
    </row>
    <row r="323" spans="1:6" ht="13.2" x14ac:dyDescent="0.25">
      <c r="A323" s="4"/>
      <c r="B323" s="4"/>
      <c r="C323" s="4"/>
      <c r="E323" s="7"/>
      <c r="F323" s="16"/>
    </row>
    <row r="324" spans="1:6" ht="13.2" x14ac:dyDescent="0.25">
      <c r="A324" s="4"/>
      <c r="B324" s="4"/>
      <c r="C324" s="4"/>
      <c r="E324" s="7"/>
      <c r="F324" s="16"/>
    </row>
    <row r="325" spans="1:6" ht="13.2" x14ac:dyDescent="0.25">
      <c r="A325" s="4"/>
      <c r="B325" s="4"/>
      <c r="C325" s="4"/>
      <c r="E325" s="7"/>
      <c r="F325" s="16"/>
    </row>
    <row r="326" spans="1:6" ht="13.2" x14ac:dyDescent="0.25">
      <c r="A326" s="4"/>
      <c r="B326" s="4"/>
      <c r="C326" s="4"/>
      <c r="E326" s="7"/>
      <c r="F326" s="16"/>
    </row>
    <row r="327" spans="1:6" ht="13.2" x14ac:dyDescent="0.25">
      <c r="A327" s="4"/>
      <c r="B327" s="4"/>
      <c r="C327" s="4"/>
      <c r="E327" s="7"/>
      <c r="F327" s="16"/>
    </row>
    <row r="328" spans="1:6" ht="13.2" x14ac:dyDescent="0.25">
      <c r="A328" s="4"/>
      <c r="B328" s="4"/>
      <c r="C328" s="4"/>
      <c r="E328" s="7"/>
      <c r="F328" s="16"/>
    </row>
    <row r="329" spans="1:6" ht="13.2" x14ac:dyDescent="0.25">
      <c r="A329" s="4"/>
      <c r="B329" s="4"/>
      <c r="C329" s="4"/>
      <c r="E329" s="7"/>
      <c r="F329" s="16"/>
    </row>
    <row r="330" spans="1:6" ht="13.2" x14ac:dyDescent="0.25">
      <c r="A330" s="4"/>
      <c r="B330" s="4"/>
      <c r="C330" s="4"/>
      <c r="E330" s="7"/>
      <c r="F330" s="16"/>
    </row>
    <row r="331" spans="1:6" ht="13.2" x14ac:dyDescent="0.25">
      <c r="A331" s="4"/>
      <c r="B331" s="4"/>
      <c r="C331" s="4"/>
      <c r="E331" s="7"/>
      <c r="F331" s="16"/>
    </row>
    <row r="332" spans="1:6" ht="13.2" x14ac:dyDescent="0.25">
      <c r="A332" s="4"/>
      <c r="B332" s="4"/>
      <c r="C332" s="4"/>
      <c r="E332" s="7"/>
      <c r="F332" s="16"/>
    </row>
    <row r="333" spans="1:6" ht="13.2" x14ac:dyDescent="0.25">
      <c r="A333" s="4"/>
      <c r="B333" s="4"/>
      <c r="C333" s="4"/>
      <c r="E333" s="7"/>
      <c r="F333" s="16"/>
    </row>
    <row r="334" spans="1:6" ht="13.2" x14ac:dyDescent="0.25">
      <c r="A334" s="4"/>
      <c r="B334" s="4"/>
      <c r="C334" s="4"/>
      <c r="E334" s="7"/>
      <c r="F334" s="16"/>
    </row>
    <row r="335" spans="1:6" ht="13.2" x14ac:dyDescent="0.25">
      <c r="A335" s="4"/>
      <c r="B335" s="4"/>
      <c r="C335" s="4"/>
      <c r="E335" s="7"/>
      <c r="F335" s="16"/>
    </row>
    <row r="336" spans="1:6" ht="13.2" x14ac:dyDescent="0.25">
      <c r="A336" s="4"/>
      <c r="B336" s="4"/>
      <c r="C336" s="4"/>
      <c r="E336" s="7"/>
      <c r="F336" s="16"/>
    </row>
    <row r="337" spans="1:6" ht="13.2" x14ac:dyDescent="0.25">
      <c r="A337" s="4"/>
      <c r="B337" s="4"/>
      <c r="C337" s="4"/>
      <c r="E337" s="7"/>
      <c r="F337" s="16"/>
    </row>
    <row r="338" spans="1:6" ht="13.2" x14ac:dyDescent="0.25">
      <c r="A338" s="4"/>
      <c r="B338" s="4"/>
      <c r="C338" s="4"/>
      <c r="E338" s="7"/>
      <c r="F338" s="16"/>
    </row>
    <row r="339" spans="1:6" ht="13.2" x14ac:dyDescent="0.25">
      <c r="A339" s="4"/>
      <c r="B339" s="4"/>
      <c r="C339" s="4"/>
      <c r="E339" s="7"/>
      <c r="F339" s="16"/>
    </row>
    <row r="340" spans="1:6" ht="13.2" x14ac:dyDescent="0.25">
      <c r="A340" s="4"/>
      <c r="B340" s="4"/>
      <c r="C340" s="4"/>
      <c r="E340" s="7"/>
      <c r="F340" s="16"/>
    </row>
    <row r="341" spans="1:6" ht="13.2" x14ac:dyDescent="0.25">
      <c r="A341" s="4"/>
      <c r="B341" s="4"/>
      <c r="C341" s="4"/>
      <c r="E341" s="7"/>
      <c r="F341" s="16"/>
    </row>
    <row r="342" spans="1:6" ht="13.2" x14ac:dyDescent="0.25">
      <c r="A342" s="4"/>
      <c r="B342" s="4"/>
      <c r="C342" s="4"/>
      <c r="E342" s="7"/>
      <c r="F342" s="16"/>
    </row>
    <row r="343" spans="1:6" ht="13.2" x14ac:dyDescent="0.25">
      <c r="A343" s="4"/>
      <c r="B343" s="4"/>
      <c r="C343" s="4"/>
      <c r="E343" s="7"/>
      <c r="F343" s="16"/>
    </row>
    <row r="344" spans="1:6" ht="13.2" x14ac:dyDescent="0.25">
      <c r="A344" s="4"/>
      <c r="B344" s="4"/>
      <c r="C344" s="4"/>
      <c r="E344" s="7"/>
      <c r="F344" s="16"/>
    </row>
    <row r="345" spans="1:6" ht="13.2" x14ac:dyDescent="0.25">
      <c r="A345" s="4"/>
      <c r="B345" s="4"/>
      <c r="C345" s="4"/>
      <c r="E345" s="7"/>
      <c r="F345" s="16"/>
    </row>
    <row r="346" spans="1:6" ht="13.2" x14ac:dyDescent="0.25">
      <c r="A346" s="4"/>
      <c r="B346" s="4"/>
      <c r="C346" s="4"/>
      <c r="E346" s="7"/>
      <c r="F346" s="16"/>
    </row>
    <row r="347" spans="1:6" ht="13.2" x14ac:dyDescent="0.25">
      <c r="A347" s="4"/>
      <c r="B347" s="4"/>
      <c r="C347" s="4"/>
      <c r="E347" s="7"/>
      <c r="F347" s="16"/>
    </row>
    <row r="348" spans="1:6" ht="13.2" x14ac:dyDescent="0.25">
      <c r="A348" s="4"/>
      <c r="B348" s="4"/>
      <c r="C348" s="4"/>
      <c r="E348" s="7"/>
      <c r="F348" s="16"/>
    </row>
    <row r="349" spans="1:6" ht="13.2" x14ac:dyDescent="0.25">
      <c r="A349" s="4"/>
      <c r="B349" s="4"/>
      <c r="C349" s="4"/>
      <c r="E349" s="7"/>
      <c r="F349" s="16"/>
    </row>
    <row r="350" spans="1:6" ht="13.2" x14ac:dyDescent="0.25">
      <c r="A350" s="4"/>
      <c r="B350" s="4"/>
      <c r="C350" s="4"/>
      <c r="E350" s="7"/>
      <c r="F350" s="16"/>
    </row>
    <row r="351" spans="1:6" ht="13.2" x14ac:dyDescent="0.25">
      <c r="A351" s="4"/>
      <c r="B351" s="4"/>
      <c r="C351" s="4"/>
      <c r="E351" s="7"/>
      <c r="F351" s="16"/>
    </row>
    <row r="352" spans="1:6" ht="13.2" x14ac:dyDescent="0.25">
      <c r="A352" s="4"/>
      <c r="B352" s="4"/>
      <c r="C352" s="4"/>
      <c r="E352" s="7"/>
      <c r="F352" s="16"/>
    </row>
    <row r="353" spans="1:6" ht="13.2" x14ac:dyDescent="0.25">
      <c r="A353" s="4"/>
      <c r="B353" s="4"/>
      <c r="C353" s="4"/>
      <c r="E353" s="7"/>
      <c r="F353" s="16"/>
    </row>
    <row r="354" spans="1:6" ht="13.2" x14ac:dyDescent="0.25">
      <c r="A354" s="4"/>
      <c r="B354" s="4"/>
      <c r="C354" s="4"/>
      <c r="E354" s="7"/>
      <c r="F354" s="16"/>
    </row>
    <row r="355" spans="1:6" ht="13.2" x14ac:dyDescent="0.25">
      <c r="A355" s="4"/>
      <c r="B355" s="4"/>
      <c r="C355" s="4"/>
      <c r="E355" s="7"/>
      <c r="F355" s="16"/>
    </row>
    <row r="356" spans="1:6" ht="13.2" x14ac:dyDescent="0.25">
      <c r="A356" s="4"/>
      <c r="B356" s="4"/>
      <c r="C356" s="4"/>
      <c r="E356" s="7"/>
      <c r="F356" s="16"/>
    </row>
    <row r="357" spans="1:6" ht="13.2" x14ac:dyDescent="0.25">
      <c r="E357" s="13"/>
      <c r="F357" s="16"/>
    </row>
    <row r="358" spans="1:6" ht="13.2" x14ac:dyDescent="0.25">
      <c r="E358" s="13"/>
      <c r="F358" s="16"/>
    </row>
    <row r="359" spans="1:6" ht="13.2" x14ac:dyDescent="0.25">
      <c r="E359" s="13"/>
      <c r="F359" s="16"/>
    </row>
    <row r="360" spans="1:6" ht="13.2" x14ac:dyDescent="0.25">
      <c r="E360" s="13"/>
      <c r="F360" s="16"/>
    </row>
    <row r="361" spans="1:6" ht="13.2" x14ac:dyDescent="0.25">
      <c r="E361" s="13"/>
      <c r="F361" s="16"/>
    </row>
    <row r="362" spans="1:6" ht="13.2" x14ac:dyDescent="0.25">
      <c r="E362" s="13"/>
      <c r="F362" s="16"/>
    </row>
    <row r="363" spans="1:6" ht="13.2" x14ac:dyDescent="0.25">
      <c r="E363" s="13"/>
      <c r="F363" s="16"/>
    </row>
    <row r="364" spans="1:6" ht="13.2" x14ac:dyDescent="0.25">
      <c r="E364" s="13"/>
      <c r="F364" s="16"/>
    </row>
    <row r="365" spans="1:6" ht="13.2" x14ac:dyDescent="0.25">
      <c r="E365" s="13"/>
      <c r="F365" s="16"/>
    </row>
    <row r="366" spans="1:6" ht="13.2" x14ac:dyDescent="0.25">
      <c r="E366" s="13"/>
      <c r="F366" s="16"/>
    </row>
    <row r="367" spans="1:6" ht="13.2" x14ac:dyDescent="0.25">
      <c r="E367" s="13"/>
      <c r="F367" s="16"/>
    </row>
    <row r="368" spans="1:6" ht="13.2" x14ac:dyDescent="0.25">
      <c r="E368" s="13"/>
      <c r="F368" s="16"/>
    </row>
    <row r="369" spans="5:6" ht="13.2" x14ac:dyDescent="0.25">
      <c r="E369" s="13"/>
      <c r="F369" s="16"/>
    </row>
    <row r="370" spans="5:6" ht="13.2" x14ac:dyDescent="0.25">
      <c r="E370" s="13"/>
      <c r="F370" s="16"/>
    </row>
    <row r="371" spans="5:6" ht="13.2" x14ac:dyDescent="0.25">
      <c r="E371" s="13"/>
      <c r="F371" s="16"/>
    </row>
    <row r="372" spans="5:6" ht="13.2" x14ac:dyDescent="0.25">
      <c r="E372" s="13"/>
      <c r="F372" s="16"/>
    </row>
    <row r="373" spans="5:6" ht="13.2" x14ac:dyDescent="0.25">
      <c r="E373" s="13"/>
      <c r="F373" s="16"/>
    </row>
    <row r="374" spans="5:6" ht="13.2" x14ac:dyDescent="0.25">
      <c r="E374" s="13"/>
      <c r="F374" s="16"/>
    </row>
    <row r="375" spans="5:6" ht="13.2" x14ac:dyDescent="0.25">
      <c r="E375" s="13"/>
      <c r="F375" s="16"/>
    </row>
    <row r="376" spans="5:6" ht="13.2" x14ac:dyDescent="0.25">
      <c r="E376" s="13"/>
      <c r="F376" s="16"/>
    </row>
    <row r="377" spans="5:6" ht="13.2" x14ac:dyDescent="0.25">
      <c r="E377" s="13"/>
      <c r="F377" s="16"/>
    </row>
    <row r="378" spans="5:6" ht="13.2" x14ac:dyDescent="0.25">
      <c r="E378" s="13"/>
      <c r="F378" s="16"/>
    </row>
    <row r="379" spans="5:6" ht="13.2" x14ac:dyDescent="0.25">
      <c r="E379" s="13"/>
      <c r="F379" s="16"/>
    </row>
    <row r="380" spans="5:6" ht="13.2" x14ac:dyDescent="0.25">
      <c r="E380" s="13"/>
      <c r="F380" s="16"/>
    </row>
    <row r="381" spans="5:6" ht="13.2" x14ac:dyDescent="0.25">
      <c r="E381" s="13"/>
      <c r="F381" s="16"/>
    </row>
    <row r="382" spans="5:6" ht="13.2" x14ac:dyDescent="0.25">
      <c r="E382" s="13"/>
      <c r="F382" s="16"/>
    </row>
    <row r="383" spans="5:6" ht="13.2" x14ac:dyDescent="0.25">
      <c r="E383" s="13"/>
      <c r="F383" s="16"/>
    </row>
    <row r="384" spans="5:6" ht="13.2" x14ac:dyDescent="0.25">
      <c r="E384" s="13"/>
      <c r="F384" s="16"/>
    </row>
    <row r="385" spans="5:6" ht="13.2" x14ac:dyDescent="0.25">
      <c r="E385" s="13"/>
      <c r="F385" s="16"/>
    </row>
    <row r="386" spans="5:6" ht="13.2" x14ac:dyDescent="0.25">
      <c r="E386" s="13"/>
      <c r="F386" s="16"/>
    </row>
    <row r="387" spans="5:6" ht="13.2" x14ac:dyDescent="0.25">
      <c r="E387" s="13"/>
      <c r="F387" s="16"/>
    </row>
    <row r="388" spans="5:6" ht="13.2" x14ac:dyDescent="0.25">
      <c r="E388" s="13"/>
      <c r="F388" s="16"/>
    </row>
    <row r="389" spans="5:6" ht="13.2" x14ac:dyDescent="0.25">
      <c r="E389" s="13"/>
      <c r="F389" s="16"/>
    </row>
    <row r="390" spans="5:6" ht="13.2" x14ac:dyDescent="0.25">
      <c r="E390" s="13"/>
      <c r="F390" s="16"/>
    </row>
    <row r="391" spans="5:6" ht="13.2" x14ac:dyDescent="0.25">
      <c r="E391" s="13"/>
      <c r="F391" s="16"/>
    </row>
    <row r="392" spans="5:6" ht="13.2" x14ac:dyDescent="0.25">
      <c r="E392" s="13"/>
      <c r="F392" s="16"/>
    </row>
    <row r="393" spans="5:6" ht="13.2" x14ac:dyDescent="0.25">
      <c r="E393" s="13"/>
      <c r="F393" s="16"/>
    </row>
    <row r="394" spans="5:6" ht="13.2" x14ac:dyDescent="0.25">
      <c r="E394" s="13"/>
      <c r="F394" s="16"/>
    </row>
    <row r="395" spans="5:6" ht="13.2" x14ac:dyDescent="0.25">
      <c r="E395" s="13"/>
      <c r="F395" s="16"/>
    </row>
    <row r="396" spans="5:6" ht="13.2" x14ac:dyDescent="0.25">
      <c r="E396" s="13"/>
      <c r="F396" s="16"/>
    </row>
    <row r="397" spans="5:6" ht="13.2" x14ac:dyDescent="0.25">
      <c r="E397" s="13"/>
      <c r="F397" s="16"/>
    </row>
    <row r="398" spans="5:6" ht="13.2" x14ac:dyDescent="0.25">
      <c r="E398" s="13"/>
      <c r="F398" s="16"/>
    </row>
    <row r="399" spans="5:6" ht="13.2" x14ac:dyDescent="0.25">
      <c r="E399" s="13"/>
      <c r="F399" s="16"/>
    </row>
    <row r="400" spans="5:6" ht="13.2" x14ac:dyDescent="0.25">
      <c r="E400" s="13"/>
      <c r="F400" s="16"/>
    </row>
    <row r="401" spans="5:6" ht="13.2" x14ac:dyDescent="0.25">
      <c r="E401" s="13"/>
      <c r="F401" s="16"/>
    </row>
    <row r="402" spans="5:6" ht="13.2" x14ac:dyDescent="0.25">
      <c r="E402" s="13"/>
      <c r="F402" s="16"/>
    </row>
    <row r="403" spans="5:6" ht="13.2" x14ac:dyDescent="0.25">
      <c r="E403" s="13"/>
      <c r="F403" s="16"/>
    </row>
    <row r="404" spans="5:6" ht="13.2" x14ac:dyDescent="0.25">
      <c r="E404" s="13"/>
      <c r="F404" s="16"/>
    </row>
    <row r="405" spans="5:6" ht="13.2" x14ac:dyDescent="0.25">
      <c r="E405" s="13"/>
      <c r="F405" s="16"/>
    </row>
    <row r="406" spans="5:6" ht="13.2" x14ac:dyDescent="0.25">
      <c r="E406" s="13"/>
      <c r="F406" s="16"/>
    </row>
    <row r="407" spans="5:6" ht="13.2" x14ac:dyDescent="0.25">
      <c r="E407" s="13"/>
      <c r="F407" s="16"/>
    </row>
    <row r="408" spans="5:6" ht="13.2" x14ac:dyDescent="0.25">
      <c r="E408" s="13"/>
      <c r="F408" s="16"/>
    </row>
    <row r="409" spans="5:6" ht="13.2" x14ac:dyDescent="0.25">
      <c r="E409" s="13"/>
      <c r="F409" s="16"/>
    </row>
    <row r="410" spans="5:6" ht="13.2" x14ac:dyDescent="0.25">
      <c r="E410" s="13"/>
      <c r="F410" s="16"/>
    </row>
    <row r="411" spans="5:6" ht="13.2" x14ac:dyDescent="0.25">
      <c r="E411" s="13"/>
      <c r="F411" s="16"/>
    </row>
    <row r="412" spans="5:6" ht="13.2" x14ac:dyDescent="0.25">
      <c r="E412" s="13"/>
      <c r="F412" s="16"/>
    </row>
    <row r="413" spans="5:6" ht="13.2" x14ac:dyDescent="0.25">
      <c r="E413" s="13"/>
      <c r="F413" s="16"/>
    </row>
    <row r="414" spans="5:6" ht="13.2" x14ac:dyDescent="0.25">
      <c r="E414" s="13"/>
      <c r="F414" s="16"/>
    </row>
    <row r="415" spans="5:6" ht="13.2" x14ac:dyDescent="0.25">
      <c r="E415" s="13"/>
      <c r="F415" s="16"/>
    </row>
    <row r="416" spans="5:6" ht="13.2" x14ac:dyDescent="0.25">
      <c r="E416" s="13"/>
      <c r="F416" s="16"/>
    </row>
    <row r="417" spans="5:6" ht="13.2" x14ac:dyDescent="0.25">
      <c r="E417" s="13"/>
      <c r="F417" s="16"/>
    </row>
    <row r="418" spans="5:6" ht="13.2" x14ac:dyDescent="0.25">
      <c r="E418" s="13"/>
      <c r="F418" s="16"/>
    </row>
    <row r="419" spans="5:6" ht="13.2" x14ac:dyDescent="0.25">
      <c r="E419" s="13"/>
      <c r="F419" s="16"/>
    </row>
    <row r="420" spans="5:6" ht="13.2" x14ac:dyDescent="0.25">
      <c r="E420" s="13"/>
      <c r="F420" s="16"/>
    </row>
    <row r="421" spans="5:6" ht="13.2" x14ac:dyDescent="0.25">
      <c r="E421" s="13"/>
      <c r="F421" s="16"/>
    </row>
    <row r="422" spans="5:6" ht="13.2" x14ac:dyDescent="0.25">
      <c r="E422" s="13"/>
      <c r="F422" s="16"/>
    </row>
    <row r="423" spans="5:6" ht="13.2" x14ac:dyDescent="0.25">
      <c r="E423" s="13"/>
      <c r="F423" s="16"/>
    </row>
    <row r="424" spans="5:6" ht="13.2" x14ac:dyDescent="0.25">
      <c r="E424" s="13"/>
      <c r="F424" s="16"/>
    </row>
    <row r="425" spans="5:6" ht="13.2" x14ac:dyDescent="0.25">
      <c r="E425" s="13"/>
      <c r="F425" s="16"/>
    </row>
    <row r="426" spans="5:6" ht="13.2" x14ac:dyDescent="0.25">
      <c r="E426" s="13"/>
      <c r="F426" s="16"/>
    </row>
    <row r="427" spans="5:6" ht="13.2" x14ac:dyDescent="0.25">
      <c r="E427" s="13"/>
      <c r="F427" s="16"/>
    </row>
    <row r="428" spans="5:6" ht="13.2" x14ac:dyDescent="0.25">
      <c r="E428" s="13"/>
      <c r="F428" s="16"/>
    </row>
    <row r="429" spans="5:6" ht="13.2" x14ac:dyDescent="0.25">
      <c r="E429" s="13"/>
      <c r="F429" s="16"/>
    </row>
    <row r="430" spans="5:6" ht="13.2" x14ac:dyDescent="0.25">
      <c r="E430" s="13"/>
      <c r="F430" s="16"/>
    </row>
    <row r="431" spans="5:6" ht="13.2" x14ac:dyDescent="0.25">
      <c r="E431" s="13"/>
      <c r="F431" s="16"/>
    </row>
    <row r="432" spans="5:6" ht="13.2" x14ac:dyDescent="0.25">
      <c r="E432" s="13"/>
      <c r="F432" s="16"/>
    </row>
    <row r="433" spans="5:6" ht="13.2" x14ac:dyDescent="0.25">
      <c r="E433" s="13"/>
      <c r="F433" s="16"/>
    </row>
    <row r="434" spans="5:6" ht="13.2" x14ac:dyDescent="0.25">
      <c r="E434" s="13"/>
      <c r="F434" s="16"/>
    </row>
    <row r="435" spans="5:6" ht="13.2" x14ac:dyDescent="0.25">
      <c r="E435" s="13"/>
      <c r="F435" s="16"/>
    </row>
    <row r="436" spans="5:6" ht="13.2" x14ac:dyDescent="0.25">
      <c r="E436" s="13"/>
      <c r="F436" s="16"/>
    </row>
    <row r="437" spans="5:6" ht="13.2" x14ac:dyDescent="0.25">
      <c r="E437" s="13"/>
      <c r="F437" s="16"/>
    </row>
    <row r="438" spans="5:6" ht="13.2" x14ac:dyDescent="0.25">
      <c r="E438" s="13"/>
      <c r="F438" s="16"/>
    </row>
    <row r="439" spans="5:6" ht="13.2" x14ac:dyDescent="0.25">
      <c r="E439" s="13"/>
      <c r="F439" s="16"/>
    </row>
    <row r="440" spans="5:6" ht="13.2" x14ac:dyDescent="0.25">
      <c r="E440" s="13"/>
      <c r="F440" s="16"/>
    </row>
    <row r="441" spans="5:6" ht="13.2" x14ac:dyDescent="0.25">
      <c r="E441" s="13"/>
      <c r="F441" s="16"/>
    </row>
    <row r="442" spans="5:6" ht="13.2" x14ac:dyDescent="0.25">
      <c r="E442" s="13"/>
      <c r="F442" s="16"/>
    </row>
    <row r="443" spans="5:6" ht="13.2" x14ac:dyDescent="0.25">
      <c r="E443" s="13"/>
      <c r="F443" s="16"/>
    </row>
    <row r="444" spans="5:6" ht="13.2" x14ac:dyDescent="0.25">
      <c r="E444" s="13"/>
      <c r="F444" s="16"/>
    </row>
    <row r="445" spans="5:6" ht="13.2" x14ac:dyDescent="0.25">
      <c r="E445" s="13"/>
      <c r="F445" s="16"/>
    </row>
    <row r="446" spans="5:6" ht="13.2" x14ac:dyDescent="0.25">
      <c r="E446" s="13"/>
      <c r="F446" s="16"/>
    </row>
    <row r="447" spans="5:6" ht="13.2" x14ac:dyDescent="0.25">
      <c r="E447" s="13"/>
      <c r="F447" s="16"/>
    </row>
    <row r="448" spans="5:6" ht="13.2" x14ac:dyDescent="0.25">
      <c r="E448" s="13"/>
      <c r="F448" s="16"/>
    </row>
    <row r="449" spans="5:6" ht="13.2" x14ac:dyDescent="0.25">
      <c r="E449" s="13"/>
      <c r="F449" s="16"/>
    </row>
    <row r="450" spans="5:6" ht="13.2" x14ac:dyDescent="0.25">
      <c r="E450" s="13"/>
      <c r="F450" s="16"/>
    </row>
    <row r="451" spans="5:6" ht="13.2" x14ac:dyDescent="0.25">
      <c r="E451" s="13"/>
      <c r="F451" s="16"/>
    </row>
    <row r="452" spans="5:6" ht="13.2" x14ac:dyDescent="0.25">
      <c r="E452" s="13"/>
      <c r="F452" s="16"/>
    </row>
    <row r="453" spans="5:6" ht="13.2" x14ac:dyDescent="0.25">
      <c r="E453" s="13"/>
      <c r="F453" s="16"/>
    </row>
    <row r="454" spans="5:6" ht="13.2" x14ac:dyDescent="0.25">
      <c r="E454" s="13"/>
      <c r="F454" s="16"/>
    </row>
    <row r="455" spans="5:6" ht="13.2" x14ac:dyDescent="0.25">
      <c r="E455" s="13"/>
      <c r="F455" s="16"/>
    </row>
    <row r="456" spans="5:6" ht="13.2" x14ac:dyDescent="0.25">
      <c r="E456" s="13"/>
      <c r="F456" s="16"/>
    </row>
    <row r="457" spans="5:6" ht="13.2" x14ac:dyDescent="0.25">
      <c r="E457" s="13"/>
      <c r="F457" s="16"/>
    </row>
    <row r="458" spans="5:6" ht="13.2" x14ac:dyDescent="0.25">
      <c r="E458" s="13"/>
      <c r="F458" s="16"/>
    </row>
    <row r="459" spans="5:6" ht="13.2" x14ac:dyDescent="0.25">
      <c r="E459" s="13"/>
      <c r="F459" s="16"/>
    </row>
    <row r="460" spans="5:6" ht="13.2" x14ac:dyDescent="0.25">
      <c r="E460" s="13"/>
      <c r="F460" s="16"/>
    </row>
    <row r="461" spans="5:6" ht="13.2" x14ac:dyDescent="0.25">
      <c r="E461" s="13"/>
      <c r="F461" s="16"/>
    </row>
    <row r="462" spans="5:6" ht="13.2" x14ac:dyDescent="0.25">
      <c r="E462" s="13"/>
      <c r="F462" s="16"/>
    </row>
    <row r="463" spans="5:6" ht="13.2" x14ac:dyDescent="0.25">
      <c r="E463" s="13"/>
      <c r="F463" s="16"/>
    </row>
    <row r="464" spans="5:6" ht="13.2" x14ac:dyDescent="0.25">
      <c r="E464" s="13"/>
      <c r="F464" s="16"/>
    </row>
    <row r="465" spans="5:6" ht="13.2" x14ac:dyDescent="0.25">
      <c r="E465" s="13"/>
      <c r="F465" s="16"/>
    </row>
    <row r="466" spans="5:6" ht="13.2" x14ac:dyDescent="0.25">
      <c r="E466" s="13"/>
      <c r="F466" s="16"/>
    </row>
    <row r="467" spans="5:6" ht="13.2" x14ac:dyDescent="0.25">
      <c r="E467" s="13"/>
      <c r="F467" s="16"/>
    </row>
    <row r="468" spans="5:6" ht="13.2" x14ac:dyDescent="0.25">
      <c r="E468" s="13"/>
      <c r="F468" s="16"/>
    </row>
    <row r="469" spans="5:6" ht="13.2" x14ac:dyDescent="0.25">
      <c r="E469" s="13"/>
      <c r="F469" s="16"/>
    </row>
    <row r="470" spans="5:6" ht="13.2" x14ac:dyDescent="0.25">
      <c r="E470" s="13"/>
      <c r="F470" s="16"/>
    </row>
    <row r="471" spans="5:6" ht="13.2" x14ac:dyDescent="0.25">
      <c r="E471" s="13"/>
      <c r="F471" s="16"/>
    </row>
    <row r="472" spans="5:6" ht="13.2" x14ac:dyDescent="0.25">
      <c r="E472" s="13"/>
      <c r="F472" s="16"/>
    </row>
    <row r="473" spans="5:6" ht="13.2" x14ac:dyDescent="0.25">
      <c r="E473" s="13"/>
      <c r="F473" s="16"/>
    </row>
    <row r="474" spans="5:6" ht="13.2" x14ac:dyDescent="0.25">
      <c r="E474" s="13"/>
      <c r="F474" s="16"/>
    </row>
    <row r="475" spans="5:6" ht="13.2" x14ac:dyDescent="0.25">
      <c r="E475" s="13"/>
      <c r="F475" s="16"/>
    </row>
    <row r="476" spans="5:6" ht="13.2" x14ac:dyDescent="0.25">
      <c r="E476" s="13"/>
      <c r="F476" s="16"/>
    </row>
    <row r="477" spans="5:6" ht="13.2" x14ac:dyDescent="0.25">
      <c r="E477" s="13"/>
      <c r="F477" s="16"/>
    </row>
    <row r="478" spans="5:6" ht="13.2" x14ac:dyDescent="0.25">
      <c r="E478" s="13"/>
      <c r="F478" s="16"/>
    </row>
    <row r="479" spans="5:6" ht="13.2" x14ac:dyDescent="0.25">
      <c r="E479" s="13"/>
      <c r="F479" s="16"/>
    </row>
    <row r="480" spans="5:6" ht="13.2" x14ac:dyDescent="0.25">
      <c r="E480" s="13"/>
      <c r="F480" s="16"/>
    </row>
    <row r="481" spans="5:6" ht="13.2" x14ac:dyDescent="0.25">
      <c r="E481" s="13"/>
      <c r="F481" s="16"/>
    </row>
    <row r="482" spans="5:6" ht="13.2" x14ac:dyDescent="0.25">
      <c r="E482" s="13"/>
      <c r="F482" s="16"/>
    </row>
    <row r="483" spans="5:6" ht="13.2" x14ac:dyDescent="0.25">
      <c r="E483" s="13"/>
      <c r="F483" s="16"/>
    </row>
    <row r="484" spans="5:6" ht="13.2" x14ac:dyDescent="0.25">
      <c r="E484" s="13"/>
      <c r="F484" s="16"/>
    </row>
    <row r="485" spans="5:6" ht="13.2" x14ac:dyDescent="0.25">
      <c r="E485" s="13"/>
      <c r="F485" s="16"/>
    </row>
    <row r="486" spans="5:6" ht="13.2" x14ac:dyDescent="0.25">
      <c r="E486" s="13"/>
      <c r="F486" s="16"/>
    </row>
    <row r="487" spans="5:6" ht="13.2" x14ac:dyDescent="0.25">
      <c r="E487" s="13"/>
      <c r="F487" s="16"/>
    </row>
    <row r="488" spans="5:6" ht="13.2" x14ac:dyDescent="0.25">
      <c r="E488" s="13"/>
      <c r="F488" s="16"/>
    </row>
    <row r="489" spans="5:6" ht="13.2" x14ac:dyDescent="0.25">
      <c r="E489" s="13"/>
      <c r="F489" s="16"/>
    </row>
    <row r="490" spans="5:6" ht="13.2" x14ac:dyDescent="0.25">
      <c r="E490" s="13"/>
      <c r="F490" s="16"/>
    </row>
    <row r="491" spans="5:6" ht="13.2" x14ac:dyDescent="0.25">
      <c r="E491" s="13"/>
      <c r="F491" s="16"/>
    </row>
    <row r="492" spans="5:6" ht="13.2" x14ac:dyDescent="0.25">
      <c r="E492" s="13"/>
      <c r="F492" s="16"/>
    </row>
    <row r="493" spans="5:6" ht="13.2" x14ac:dyDescent="0.25">
      <c r="E493" s="13"/>
      <c r="F493" s="16"/>
    </row>
    <row r="494" spans="5:6" ht="13.2" x14ac:dyDescent="0.25">
      <c r="E494" s="13"/>
      <c r="F494" s="16"/>
    </row>
    <row r="495" spans="5:6" ht="13.2" x14ac:dyDescent="0.25">
      <c r="E495" s="13"/>
      <c r="F495" s="16"/>
    </row>
    <row r="496" spans="5:6" ht="13.2" x14ac:dyDescent="0.25">
      <c r="E496" s="13"/>
      <c r="F496" s="16"/>
    </row>
    <row r="497" spans="5:6" ht="13.2" x14ac:dyDescent="0.25">
      <c r="E497" s="13"/>
      <c r="F497" s="16"/>
    </row>
    <row r="498" spans="5:6" ht="13.2" x14ac:dyDescent="0.25">
      <c r="E498" s="13"/>
      <c r="F498" s="16"/>
    </row>
    <row r="499" spans="5:6" ht="13.2" x14ac:dyDescent="0.25">
      <c r="E499" s="13"/>
      <c r="F499" s="16"/>
    </row>
    <row r="500" spans="5:6" ht="13.2" x14ac:dyDescent="0.25">
      <c r="E500" s="13"/>
      <c r="F500" s="16"/>
    </row>
    <row r="501" spans="5:6" ht="13.2" x14ac:dyDescent="0.25">
      <c r="E501" s="13"/>
      <c r="F501" s="16"/>
    </row>
    <row r="502" spans="5:6" ht="13.2" x14ac:dyDescent="0.25">
      <c r="E502" s="13"/>
      <c r="F502" s="16"/>
    </row>
    <row r="503" spans="5:6" ht="13.2" x14ac:dyDescent="0.25">
      <c r="E503" s="13"/>
      <c r="F503" s="16"/>
    </row>
    <row r="504" spans="5:6" ht="13.2" x14ac:dyDescent="0.25">
      <c r="E504" s="13"/>
      <c r="F504" s="16"/>
    </row>
    <row r="505" spans="5:6" ht="13.2" x14ac:dyDescent="0.25">
      <c r="E505" s="13"/>
      <c r="F505" s="16"/>
    </row>
    <row r="506" spans="5:6" ht="13.2" x14ac:dyDescent="0.25">
      <c r="E506" s="13"/>
      <c r="F506" s="16"/>
    </row>
    <row r="507" spans="5:6" ht="13.2" x14ac:dyDescent="0.25">
      <c r="E507" s="13"/>
      <c r="F507" s="16"/>
    </row>
    <row r="508" spans="5:6" ht="13.2" x14ac:dyDescent="0.25">
      <c r="E508" s="13"/>
      <c r="F508" s="16"/>
    </row>
    <row r="509" spans="5:6" ht="13.2" x14ac:dyDescent="0.25">
      <c r="E509" s="13"/>
      <c r="F509" s="16"/>
    </row>
    <row r="510" spans="5:6" ht="13.2" x14ac:dyDescent="0.25">
      <c r="E510" s="13"/>
      <c r="F510" s="16"/>
    </row>
    <row r="511" spans="5:6" ht="13.2" x14ac:dyDescent="0.25">
      <c r="E511" s="13"/>
      <c r="F511" s="16"/>
    </row>
    <row r="512" spans="5:6" ht="13.2" x14ac:dyDescent="0.25">
      <c r="E512" s="13"/>
      <c r="F512" s="16"/>
    </row>
    <row r="513" spans="5:6" ht="13.2" x14ac:dyDescent="0.25">
      <c r="E513" s="13"/>
      <c r="F513" s="16"/>
    </row>
    <row r="514" spans="5:6" ht="13.2" x14ac:dyDescent="0.25">
      <c r="E514" s="13"/>
      <c r="F514" s="16"/>
    </row>
    <row r="515" spans="5:6" ht="13.2" x14ac:dyDescent="0.25">
      <c r="E515" s="13"/>
      <c r="F515" s="16"/>
    </row>
    <row r="516" spans="5:6" ht="13.2" x14ac:dyDescent="0.25">
      <c r="E516" s="13"/>
      <c r="F516" s="16"/>
    </row>
    <row r="517" spans="5:6" ht="13.2" x14ac:dyDescent="0.25">
      <c r="E517" s="13"/>
      <c r="F517" s="16"/>
    </row>
    <row r="518" spans="5:6" ht="13.2" x14ac:dyDescent="0.25">
      <c r="E518" s="13"/>
      <c r="F518" s="16"/>
    </row>
    <row r="519" spans="5:6" ht="13.2" x14ac:dyDescent="0.25">
      <c r="E519" s="13"/>
      <c r="F519" s="16"/>
    </row>
    <row r="520" spans="5:6" ht="13.2" x14ac:dyDescent="0.25">
      <c r="E520" s="13"/>
      <c r="F520" s="16"/>
    </row>
    <row r="521" spans="5:6" ht="13.2" x14ac:dyDescent="0.25">
      <c r="E521" s="13"/>
      <c r="F521" s="16"/>
    </row>
    <row r="522" spans="5:6" ht="13.2" x14ac:dyDescent="0.25">
      <c r="E522" s="13"/>
      <c r="F522" s="16"/>
    </row>
    <row r="523" spans="5:6" ht="13.2" x14ac:dyDescent="0.25">
      <c r="E523" s="13"/>
      <c r="F523" s="16"/>
    </row>
    <row r="524" spans="5:6" ht="13.2" x14ac:dyDescent="0.25">
      <c r="E524" s="13"/>
      <c r="F524" s="16"/>
    </row>
    <row r="525" spans="5:6" ht="13.2" x14ac:dyDescent="0.25">
      <c r="E525" s="13"/>
      <c r="F525" s="16"/>
    </row>
    <row r="526" spans="5:6" ht="13.2" x14ac:dyDescent="0.25">
      <c r="E526" s="13"/>
      <c r="F526" s="16"/>
    </row>
    <row r="527" spans="5:6" ht="13.2" x14ac:dyDescent="0.25">
      <c r="E527" s="13"/>
      <c r="F527" s="16"/>
    </row>
    <row r="528" spans="5:6" ht="13.2" x14ac:dyDescent="0.25">
      <c r="E528" s="13"/>
      <c r="F528" s="16"/>
    </row>
    <row r="529" spans="5:6" ht="13.2" x14ac:dyDescent="0.25">
      <c r="E529" s="13"/>
      <c r="F529" s="16"/>
    </row>
    <row r="530" spans="5:6" ht="13.2" x14ac:dyDescent="0.25">
      <c r="E530" s="13"/>
      <c r="F530" s="16"/>
    </row>
    <row r="531" spans="5:6" ht="13.2" x14ac:dyDescent="0.25">
      <c r="E531" s="13"/>
      <c r="F531" s="16"/>
    </row>
    <row r="532" spans="5:6" ht="13.2" x14ac:dyDescent="0.25">
      <c r="E532" s="13"/>
      <c r="F532" s="16"/>
    </row>
    <row r="533" spans="5:6" ht="13.2" x14ac:dyDescent="0.25">
      <c r="E533" s="13"/>
      <c r="F533" s="16"/>
    </row>
    <row r="534" spans="5:6" ht="13.2" x14ac:dyDescent="0.25">
      <c r="E534" s="13"/>
      <c r="F534" s="16"/>
    </row>
    <row r="535" spans="5:6" ht="13.2" x14ac:dyDescent="0.25">
      <c r="E535" s="13"/>
      <c r="F535" s="16"/>
    </row>
    <row r="536" spans="5:6" ht="13.2" x14ac:dyDescent="0.25">
      <c r="E536" s="13"/>
      <c r="F536" s="16"/>
    </row>
    <row r="537" spans="5:6" ht="13.2" x14ac:dyDescent="0.25">
      <c r="E537" s="13"/>
      <c r="F537" s="16"/>
    </row>
    <row r="538" spans="5:6" ht="13.2" x14ac:dyDescent="0.25">
      <c r="E538" s="13"/>
      <c r="F538" s="16"/>
    </row>
    <row r="539" spans="5:6" ht="13.2" x14ac:dyDescent="0.25">
      <c r="E539" s="13"/>
      <c r="F539" s="16"/>
    </row>
    <row r="540" spans="5:6" ht="13.2" x14ac:dyDescent="0.25">
      <c r="E540" s="13"/>
      <c r="F540" s="16"/>
    </row>
    <row r="541" spans="5:6" ht="13.2" x14ac:dyDescent="0.25">
      <c r="E541" s="13"/>
      <c r="F541" s="16"/>
    </row>
    <row r="542" spans="5:6" ht="13.2" x14ac:dyDescent="0.25">
      <c r="E542" s="13"/>
      <c r="F542" s="16"/>
    </row>
    <row r="543" spans="5:6" ht="13.2" x14ac:dyDescent="0.25">
      <c r="E543" s="13"/>
      <c r="F543" s="16"/>
    </row>
    <row r="544" spans="5:6" ht="13.2" x14ac:dyDescent="0.25">
      <c r="E544" s="13"/>
      <c r="F544" s="16"/>
    </row>
    <row r="545" spans="5:6" ht="13.2" x14ac:dyDescent="0.25">
      <c r="E545" s="13"/>
      <c r="F545" s="16"/>
    </row>
    <row r="546" spans="5:6" ht="13.2" x14ac:dyDescent="0.25">
      <c r="E546" s="13"/>
      <c r="F546" s="16"/>
    </row>
    <row r="547" spans="5:6" ht="13.2" x14ac:dyDescent="0.25">
      <c r="E547" s="13"/>
      <c r="F547" s="16"/>
    </row>
    <row r="548" spans="5:6" ht="13.2" x14ac:dyDescent="0.25">
      <c r="E548" s="13"/>
      <c r="F548" s="16"/>
    </row>
    <row r="549" spans="5:6" ht="13.2" x14ac:dyDescent="0.25">
      <c r="E549" s="13"/>
      <c r="F549" s="16"/>
    </row>
    <row r="550" spans="5:6" ht="13.2" x14ac:dyDescent="0.25">
      <c r="E550" s="13"/>
      <c r="F550" s="16"/>
    </row>
    <row r="551" spans="5:6" ht="13.2" x14ac:dyDescent="0.25">
      <c r="E551" s="13"/>
      <c r="F551" s="16"/>
    </row>
    <row r="552" spans="5:6" ht="13.2" x14ac:dyDescent="0.25">
      <c r="E552" s="13"/>
      <c r="F552" s="16"/>
    </row>
    <row r="553" spans="5:6" ht="13.2" x14ac:dyDescent="0.25">
      <c r="E553" s="13"/>
      <c r="F553" s="16"/>
    </row>
    <row r="554" spans="5:6" ht="13.2" x14ac:dyDescent="0.25">
      <c r="E554" s="13"/>
      <c r="F554" s="16"/>
    </row>
    <row r="555" spans="5:6" ht="13.2" x14ac:dyDescent="0.25">
      <c r="E555" s="13"/>
      <c r="F555" s="16"/>
    </row>
    <row r="556" spans="5:6" ht="13.2" x14ac:dyDescent="0.25">
      <c r="E556" s="13"/>
      <c r="F556" s="16"/>
    </row>
    <row r="557" spans="5:6" ht="13.2" x14ac:dyDescent="0.25">
      <c r="E557" s="13"/>
      <c r="F557" s="16"/>
    </row>
    <row r="558" spans="5:6" ht="13.2" x14ac:dyDescent="0.25">
      <c r="E558" s="13"/>
      <c r="F558" s="16"/>
    </row>
    <row r="559" spans="5:6" ht="13.2" x14ac:dyDescent="0.25">
      <c r="E559" s="13"/>
      <c r="F559" s="16"/>
    </row>
    <row r="560" spans="5:6" ht="13.2" x14ac:dyDescent="0.25">
      <c r="E560" s="13"/>
      <c r="F560" s="16"/>
    </row>
    <row r="561" spans="5:6" ht="13.2" x14ac:dyDescent="0.25">
      <c r="E561" s="13"/>
      <c r="F561" s="16"/>
    </row>
    <row r="562" spans="5:6" ht="13.2" x14ac:dyDescent="0.25">
      <c r="E562" s="13"/>
      <c r="F562" s="16"/>
    </row>
    <row r="563" spans="5:6" ht="13.2" x14ac:dyDescent="0.25">
      <c r="E563" s="13"/>
      <c r="F563" s="16"/>
    </row>
    <row r="564" spans="5:6" ht="13.2" x14ac:dyDescent="0.25">
      <c r="E564" s="13"/>
      <c r="F564" s="16"/>
    </row>
    <row r="565" spans="5:6" ht="13.2" x14ac:dyDescent="0.25">
      <c r="E565" s="13"/>
      <c r="F565" s="16"/>
    </row>
    <row r="566" spans="5:6" ht="13.2" x14ac:dyDescent="0.25">
      <c r="E566" s="13"/>
      <c r="F566" s="16"/>
    </row>
    <row r="567" spans="5:6" ht="13.2" x14ac:dyDescent="0.25">
      <c r="E567" s="13"/>
      <c r="F567" s="16"/>
    </row>
    <row r="568" spans="5:6" ht="13.2" x14ac:dyDescent="0.25">
      <c r="E568" s="13"/>
      <c r="F568" s="16"/>
    </row>
    <row r="569" spans="5:6" ht="13.2" x14ac:dyDescent="0.25">
      <c r="E569" s="13"/>
      <c r="F569" s="16"/>
    </row>
    <row r="570" spans="5:6" ht="13.2" x14ac:dyDescent="0.25">
      <c r="E570" s="13"/>
      <c r="F570" s="16"/>
    </row>
    <row r="571" spans="5:6" ht="13.2" x14ac:dyDescent="0.25">
      <c r="E571" s="13"/>
      <c r="F571" s="16"/>
    </row>
    <row r="572" spans="5:6" ht="13.2" x14ac:dyDescent="0.25">
      <c r="E572" s="13"/>
      <c r="F572" s="16"/>
    </row>
    <row r="573" spans="5:6" ht="13.2" x14ac:dyDescent="0.25">
      <c r="E573" s="13"/>
      <c r="F573" s="16"/>
    </row>
    <row r="574" spans="5:6" ht="13.2" x14ac:dyDescent="0.25">
      <c r="E574" s="13"/>
      <c r="F574" s="16"/>
    </row>
    <row r="575" spans="5:6" ht="13.2" x14ac:dyDescent="0.25">
      <c r="E575" s="13"/>
      <c r="F575" s="16"/>
    </row>
    <row r="576" spans="5:6" ht="13.2" x14ac:dyDescent="0.25">
      <c r="E576" s="13"/>
      <c r="F576" s="16"/>
    </row>
    <row r="577" spans="5:6" ht="13.2" x14ac:dyDescent="0.25">
      <c r="E577" s="13"/>
      <c r="F577" s="16"/>
    </row>
    <row r="578" spans="5:6" ht="13.2" x14ac:dyDescent="0.25">
      <c r="E578" s="13"/>
      <c r="F578" s="16"/>
    </row>
    <row r="579" spans="5:6" ht="13.2" x14ac:dyDescent="0.25">
      <c r="E579" s="13"/>
      <c r="F579" s="16"/>
    </row>
    <row r="580" spans="5:6" ht="13.2" x14ac:dyDescent="0.25">
      <c r="E580" s="13"/>
      <c r="F580" s="16"/>
    </row>
    <row r="581" spans="5:6" ht="13.2" x14ac:dyDescent="0.25">
      <c r="E581" s="13"/>
      <c r="F581" s="16"/>
    </row>
    <row r="582" spans="5:6" ht="13.2" x14ac:dyDescent="0.25">
      <c r="E582" s="13"/>
      <c r="F582" s="16"/>
    </row>
    <row r="583" spans="5:6" ht="13.2" x14ac:dyDescent="0.25">
      <c r="E583" s="13"/>
      <c r="F583" s="16"/>
    </row>
    <row r="584" spans="5:6" ht="13.2" x14ac:dyDescent="0.25">
      <c r="E584" s="13"/>
      <c r="F584" s="16"/>
    </row>
    <row r="585" spans="5:6" ht="13.2" x14ac:dyDescent="0.25">
      <c r="E585" s="13"/>
      <c r="F585" s="16"/>
    </row>
    <row r="586" spans="5:6" ht="13.2" x14ac:dyDescent="0.25">
      <c r="E586" s="13"/>
      <c r="F586" s="16"/>
    </row>
    <row r="587" spans="5:6" ht="13.2" x14ac:dyDescent="0.25">
      <c r="E587" s="13"/>
      <c r="F587" s="16"/>
    </row>
    <row r="588" spans="5:6" ht="13.2" x14ac:dyDescent="0.25">
      <c r="E588" s="13"/>
      <c r="F588" s="16"/>
    </row>
    <row r="589" spans="5:6" ht="13.2" x14ac:dyDescent="0.25">
      <c r="E589" s="13"/>
      <c r="F589" s="16"/>
    </row>
    <row r="590" spans="5:6" ht="13.2" x14ac:dyDescent="0.25">
      <c r="E590" s="13"/>
      <c r="F590" s="16"/>
    </row>
    <row r="591" spans="5:6" ht="13.2" x14ac:dyDescent="0.25">
      <c r="E591" s="13"/>
      <c r="F591" s="16"/>
    </row>
    <row r="592" spans="5:6" ht="13.2" x14ac:dyDescent="0.25">
      <c r="E592" s="13"/>
      <c r="F592" s="16"/>
    </row>
    <row r="593" spans="5:6" ht="13.2" x14ac:dyDescent="0.25">
      <c r="E593" s="13"/>
      <c r="F593" s="16"/>
    </row>
    <row r="594" spans="5:6" ht="13.2" x14ac:dyDescent="0.25">
      <c r="E594" s="13"/>
      <c r="F594" s="16"/>
    </row>
    <row r="595" spans="5:6" ht="13.2" x14ac:dyDescent="0.25">
      <c r="E595" s="13"/>
      <c r="F595" s="16"/>
    </row>
    <row r="596" spans="5:6" ht="13.2" x14ac:dyDescent="0.25">
      <c r="E596" s="13"/>
      <c r="F596" s="16"/>
    </row>
    <row r="597" spans="5:6" ht="13.2" x14ac:dyDescent="0.25">
      <c r="E597" s="13"/>
      <c r="F597" s="16"/>
    </row>
    <row r="598" spans="5:6" ht="13.2" x14ac:dyDescent="0.25">
      <c r="E598" s="13"/>
      <c r="F598" s="16"/>
    </row>
    <row r="599" spans="5:6" ht="13.2" x14ac:dyDescent="0.25">
      <c r="E599" s="13"/>
      <c r="F599" s="16"/>
    </row>
    <row r="600" spans="5:6" ht="13.2" x14ac:dyDescent="0.25">
      <c r="E600" s="13"/>
      <c r="F600" s="16"/>
    </row>
    <row r="601" spans="5:6" ht="13.2" x14ac:dyDescent="0.25">
      <c r="E601" s="13"/>
      <c r="F601" s="16"/>
    </row>
    <row r="602" spans="5:6" ht="13.2" x14ac:dyDescent="0.25">
      <c r="E602" s="13"/>
      <c r="F602" s="16"/>
    </row>
    <row r="603" spans="5:6" ht="13.2" x14ac:dyDescent="0.25">
      <c r="E603" s="13"/>
      <c r="F603" s="16"/>
    </row>
    <row r="604" spans="5:6" ht="13.2" x14ac:dyDescent="0.25">
      <c r="E604" s="13"/>
      <c r="F604" s="16"/>
    </row>
    <row r="605" spans="5:6" ht="13.2" x14ac:dyDescent="0.25">
      <c r="E605" s="13"/>
      <c r="F605" s="16"/>
    </row>
    <row r="606" spans="5:6" ht="13.2" x14ac:dyDescent="0.25">
      <c r="E606" s="13"/>
      <c r="F606" s="16"/>
    </row>
    <row r="607" spans="5:6" ht="13.2" x14ac:dyDescent="0.25">
      <c r="E607" s="13"/>
      <c r="F607" s="16"/>
    </row>
    <row r="608" spans="5:6" ht="13.2" x14ac:dyDescent="0.25">
      <c r="E608" s="13"/>
      <c r="F608" s="16"/>
    </row>
    <row r="609" spans="5:6" ht="13.2" x14ac:dyDescent="0.25">
      <c r="E609" s="13"/>
      <c r="F609" s="16"/>
    </row>
    <row r="610" spans="5:6" ht="13.2" x14ac:dyDescent="0.25">
      <c r="E610" s="13"/>
      <c r="F610" s="16"/>
    </row>
    <row r="611" spans="5:6" ht="13.2" x14ac:dyDescent="0.25">
      <c r="E611" s="13"/>
      <c r="F611" s="16"/>
    </row>
    <row r="612" spans="5:6" ht="13.2" x14ac:dyDescent="0.25">
      <c r="E612" s="13"/>
      <c r="F612" s="16"/>
    </row>
    <row r="613" spans="5:6" ht="13.2" x14ac:dyDescent="0.25">
      <c r="E613" s="13"/>
      <c r="F613" s="16"/>
    </row>
    <row r="614" spans="5:6" ht="13.2" x14ac:dyDescent="0.25">
      <c r="E614" s="13"/>
      <c r="F614" s="16"/>
    </row>
    <row r="615" spans="5:6" ht="13.2" x14ac:dyDescent="0.25">
      <c r="E615" s="13"/>
      <c r="F615" s="16"/>
    </row>
    <row r="616" spans="5:6" ht="13.2" x14ac:dyDescent="0.25">
      <c r="E616" s="13"/>
      <c r="F616" s="16"/>
    </row>
    <row r="617" spans="5:6" ht="13.2" x14ac:dyDescent="0.25">
      <c r="E617" s="13"/>
      <c r="F617" s="16"/>
    </row>
    <row r="618" spans="5:6" ht="13.2" x14ac:dyDescent="0.25">
      <c r="E618" s="13"/>
      <c r="F618" s="16"/>
    </row>
    <row r="619" spans="5:6" ht="13.2" x14ac:dyDescent="0.25">
      <c r="E619" s="13"/>
      <c r="F619" s="16"/>
    </row>
    <row r="620" spans="5:6" ht="13.2" x14ac:dyDescent="0.25">
      <c r="E620" s="13"/>
      <c r="F620" s="16"/>
    </row>
    <row r="621" spans="5:6" ht="13.2" x14ac:dyDescent="0.25">
      <c r="E621" s="13"/>
      <c r="F621" s="16"/>
    </row>
    <row r="622" spans="5:6" ht="13.2" x14ac:dyDescent="0.25">
      <c r="E622" s="13"/>
      <c r="F622" s="16"/>
    </row>
    <row r="623" spans="5:6" ht="13.2" x14ac:dyDescent="0.25">
      <c r="E623" s="13"/>
      <c r="F623" s="16"/>
    </row>
    <row r="624" spans="5:6" ht="13.2" x14ac:dyDescent="0.25">
      <c r="E624" s="13"/>
      <c r="F624" s="16"/>
    </row>
    <row r="625" spans="5:6" ht="13.2" x14ac:dyDescent="0.25">
      <c r="E625" s="13"/>
      <c r="F625" s="16"/>
    </row>
    <row r="626" spans="5:6" ht="13.2" x14ac:dyDescent="0.25">
      <c r="E626" s="13"/>
      <c r="F626" s="16"/>
    </row>
    <row r="627" spans="5:6" ht="13.2" x14ac:dyDescent="0.25">
      <c r="E627" s="13"/>
      <c r="F627" s="16"/>
    </row>
    <row r="628" spans="5:6" ht="13.2" x14ac:dyDescent="0.25">
      <c r="E628" s="13"/>
      <c r="F628" s="16"/>
    </row>
    <row r="629" spans="5:6" ht="13.2" x14ac:dyDescent="0.25">
      <c r="E629" s="13"/>
      <c r="F629" s="16"/>
    </row>
    <row r="630" spans="5:6" ht="13.2" x14ac:dyDescent="0.25">
      <c r="E630" s="13"/>
      <c r="F630" s="16"/>
    </row>
    <row r="631" spans="5:6" ht="13.2" x14ac:dyDescent="0.25">
      <c r="E631" s="13"/>
      <c r="F631" s="16"/>
    </row>
    <row r="632" spans="5:6" ht="13.2" x14ac:dyDescent="0.25">
      <c r="E632" s="13"/>
      <c r="F632" s="16"/>
    </row>
    <row r="633" spans="5:6" ht="13.2" x14ac:dyDescent="0.25">
      <c r="E633" s="13"/>
      <c r="F633" s="16"/>
    </row>
    <row r="634" spans="5:6" ht="13.2" x14ac:dyDescent="0.25">
      <c r="E634" s="13"/>
      <c r="F634" s="16"/>
    </row>
    <row r="635" spans="5:6" ht="13.2" x14ac:dyDescent="0.25">
      <c r="E635" s="13"/>
      <c r="F635" s="16"/>
    </row>
    <row r="636" spans="5:6" ht="13.2" x14ac:dyDescent="0.25">
      <c r="E636" s="13"/>
      <c r="F636" s="16"/>
    </row>
    <row r="637" spans="5:6" ht="13.2" x14ac:dyDescent="0.25">
      <c r="E637" s="13"/>
      <c r="F637" s="16"/>
    </row>
    <row r="638" spans="5:6" ht="13.2" x14ac:dyDescent="0.25">
      <c r="E638" s="13"/>
      <c r="F638" s="16"/>
    </row>
    <row r="639" spans="5:6" ht="13.2" x14ac:dyDescent="0.25">
      <c r="E639" s="13"/>
      <c r="F639" s="16"/>
    </row>
    <row r="640" spans="5:6" ht="13.2" x14ac:dyDescent="0.25">
      <c r="E640" s="13"/>
      <c r="F640" s="16"/>
    </row>
    <row r="641" spans="5:6" ht="13.2" x14ac:dyDescent="0.25">
      <c r="E641" s="13"/>
      <c r="F641" s="16"/>
    </row>
    <row r="642" spans="5:6" ht="13.2" x14ac:dyDescent="0.25">
      <c r="E642" s="13"/>
      <c r="F642" s="16"/>
    </row>
    <row r="643" spans="5:6" ht="13.2" x14ac:dyDescent="0.25">
      <c r="E643" s="13"/>
      <c r="F643" s="16"/>
    </row>
    <row r="644" spans="5:6" ht="13.2" x14ac:dyDescent="0.25">
      <c r="E644" s="13"/>
      <c r="F644" s="16"/>
    </row>
    <row r="645" spans="5:6" ht="13.2" x14ac:dyDescent="0.25">
      <c r="E645" s="13"/>
      <c r="F645" s="16"/>
    </row>
    <row r="646" spans="5:6" ht="13.2" x14ac:dyDescent="0.25">
      <c r="E646" s="13"/>
      <c r="F646" s="16"/>
    </row>
    <row r="647" spans="5:6" ht="13.2" x14ac:dyDescent="0.25">
      <c r="E647" s="13"/>
      <c r="F647" s="16"/>
    </row>
    <row r="648" spans="5:6" ht="13.2" x14ac:dyDescent="0.25">
      <c r="E648" s="13"/>
      <c r="F648" s="16"/>
    </row>
    <row r="649" spans="5:6" ht="13.2" x14ac:dyDescent="0.25">
      <c r="E649" s="13"/>
      <c r="F649" s="16"/>
    </row>
    <row r="650" spans="5:6" ht="13.2" x14ac:dyDescent="0.25">
      <c r="E650" s="13"/>
      <c r="F650" s="16"/>
    </row>
    <row r="651" spans="5:6" ht="13.2" x14ac:dyDescent="0.25">
      <c r="E651" s="13"/>
      <c r="F651" s="16"/>
    </row>
    <row r="652" spans="5:6" ht="13.2" x14ac:dyDescent="0.25">
      <c r="E652" s="13"/>
      <c r="F652" s="16"/>
    </row>
    <row r="653" spans="5:6" ht="13.2" x14ac:dyDescent="0.25">
      <c r="E653" s="13"/>
      <c r="F653" s="16"/>
    </row>
    <row r="654" spans="5:6" ht="13.2" x14ac:dyDescent="0.25">
      <c r="E654" s="13"/>
      <c r="F654" s="16"/>
    </row>
    <row r="655" spans="5:6" ht="13.2" x14ac:dyDescent="0.25">
      <c r="E655" s="13"/>
      <c r="F655" s="16"/>
    </row>
    <row r="656" spans="5:6" ht="13.2" x14ac:dyDescent="0.25">
      <c r="E656" s="13"/>
      <c r="F656" s="16"/>
    </row>
    <row r="657" spans="5:6" ht="13.2" x14ac:dyDescent="0.25">
      <c r="E657" s="13"/>
      <c r="F657" s="16"/>
    </row>
    <row r="658" spans="5:6" ht="13.2" x14ac:dyDescent="0.25">
      <c r="E658" s="13"/>
      <c r="F658" s="16"/>
    </row>
    <row r="659" spans="5:6" ht="13.2" x14ac:dyDescent="0.25">
      <c r="E659" s="13"/>
      <c r="F659" s="16"/>
    </row>
    <row r="660" spans="5:6" ht="13.2" x14ac:dyDescent="0.25">
      <c r="E660" s="13"/>
      <c r="F660" s="16"/>
    </row>
    <row r="661" spans="5:6" ht="13.2" x14ac:dyDescent="0.25">
      <c r="E661" s="13"/>
      <c r="F661" s="16"/>
    </row>
    <row r="662" spans="5:6" ht="13.2" x14ac:dyDescent="0.25">
      <c r="E662" s="13"/>
      <c r="F662" s="16"/>
    </row>
    <row r="663" spans="5:6" ht="13.2" x14ac:dyDescent="0.25">
      <c r="E663" s="13"/>
      <c r="F663" s="16"/>
    </row>
    <row r="664" spans="5:6" ht="13.2" x14ac:dyDescent="0.25">
      <c r="E664" s="13"/>
      <c r="F664" s="16"/>
    </row>
    <row r="665" spans="5:6" ht="13.2" x14ac:dyDescent="0.25">
      <c r="E665" s="13"/>
      <c r="F665" s="16"/>
    </row>
    <row r="666" spans="5:6" ht="13.2" x14ac:dyDescent="0.25">
      <c r="E666" s="13"/>
      <c r="F666" s="16"/>
    </row>
    <row r="667" spans="5:6" ht="13.2" x14ac:dyDescent="0.25">
      <c r="E667" s="13"/>
      <c r="F667" s="16"/>
    </row>
    <row r="668" spans="5:6" ht="13.2" x14ac:dyDescent="0.25">
      <c r="E668" s="13"/>
      <c r="F668" s="16"/>
    </row>
    <row r="669" spans="5:6" ht="13.2" x14ac:dyDescent="0.25">
      <c r="E669" s="13"/>
      <c r="F669" s="16"/>
    </row>
    <row r="670" spans="5:6" ht="13.2" x14ac:dyDescent="0.25">
      <c r="E670" s="13"/>
      <c r="F670" s="16"/>
    </row>
    <row r="671" spans="5:6" ht="13.2" x14ac:dyDescent="0.25">
      <c r="E671" s="13"/>
      <c r="F671" s="16"/>
    </row>
    <row r="672" spans="5:6" ht="13.2" x14ac:dyDescent="0.25">
      <c r="E672" s="13"/>
      <c r="F672" s="16"/>
    </row>
    <row r="673" spans="5:6" ht="13.2" x14ac:dyDescent="0.25">
      <c r="E673" s="13"/>
      <c r="F673" s="16"/>
    </row>
    <row r="674" spans="5:6" ht="13.2" x14ac:dyDescent="0.25">
      <c r="E674" s="13"/>
      <c r="F674" s="16"/>
    </row>
    <row r="675" spans="5:6" ht="13.2" x14ac:dyDescent="0.25">
      <c r="E675" s="13"/>
      <c r="F675" s="16"/>
    </row>
    <row r="676" spans="5:6" ht="13.2" x14ac:dyDescent="0.25">
      <c r="E676" s="13"/>
      <c r="F676" s="16"/>
    </row>
    <row r="677" spans="5:6" ht="13.2" x14ac:dyDescent="0.25">
      <c r="E677" s="13"/>
      <c r="F677" s="16"/>
    </row>
    <row r="678" spans="5:6" ht="13.2" x14ac:dyDescent="0.25">
      <c r="E678" s="13"/>
      <c r="F678" s="16"/>
    </row>
    <row r="679" spans="5:6" ht="13.2" x14ac:dyDescent="0.25">
      <c r="E679" s="13"/>
      <c r="F679" s="16"/>
    </row>
    <row r="680" spans="5:6" ht="13.2" x14ac:dyDescent="0.25">
      <c r="E680" s="13"/>
      <c r="F680" s="16"/>
    </row>
    <row r="681" spans="5:6" ht="13.2" x14ac:dyDescent="0.25">
      <c r="E681" s="13"/>
      <c r="F681" s="16"/>
    </row>
    <row r="682" spans="5:6" ht="13.2" x14ac:dyDescent="0.25">
      <c r="E682" s="13"/>
      <c r="F682" s="16"/>
    </row>
    <row r="683" spans="5:6" ht="13.2" x14ac:dyDescent="0.25">
      <c r="E683" s="13"/>
      <c r="F683" s="16"/>
    </row>
    <row r="684" spans="5:6" ht="13.2" x14ac:dyDescent="0.25">
      <c r="E684" s="13"/>
      <c r="F684" s="16"/>
    </row>
    <row r="685" spans="5:6" ht="13.2" x14ac:dyDescent="0.25">
      <c r="E685" s="13"/>
      <c r="F685" s="16"/>
    </row>
    <row r="686" spans="5:6" ht="13.2" x14ac:dyDescent="0.25">
      <c r="E686" s="13"/>
      <c r="F686" s="16"/>
    </row>
    <row r="687" spans="5:6" ht="13.2" x14ac:dyDescent="0.25">
      <c r="E687" s="13"/>
      <c r="F687" s="16"/>
    </row>
    <row r="688" spans="5:6" ht="13.2" x14ac:dyDescent="0.25">
      <c r="E688" s="13"/>
      <c r="F688" s="16"/>
    </row>
    <row r="689" spans="5:6" ht="13.2" x14ac:dyDescent="0.25">
      <c r="E689" s="13"/>
      <c r="F689" s="16"/>
    </row>
    <row r="690" spans="5:6" ht="13.2" x14ac:dyDescent="0.25">
      <c r="E690" s="13"/>
      <c r="F690" s="16"/>
    </row>
    <row r="691" spans="5:6" ht="13.2" x14ac:dyDescent="0.25">
      <c r="E691" s="13"/>
      <c r="F691" s="16"/>
    </row>
    <row r="692" spans="5:6" ht="13.2" x14ac:dyDescent="0.25">
      <c r="E692" s="13"/>
      <c r="F692" s="16"/>
    </row>
    <row r="693" spans="5:6" ht="13.2" x14ac:dyDescent="0.25">
      <c r="E693" s="13"/>
      <c r="F693" s="16"/>
    </row>
    <row r="694" spans="5:6" ht="13.2" x14ac:dyDescent="0.25">
      <c r="E694" s="13"/>
      <c r="F694" s="16"/>
    </row>
    <row r="695" spans="5:6" ht="13.2" x14ac:dyDescent="0.25">
      <c r="E695" s="13"/>
      <c r="F695" s="16"/>
    </row>
    <row r="696" spans="5:6" ht="13.2" x14ac:dyDescent="0.25">
      <c r="E696" s="13"/>
      <c r="F696" s="16"/>
    </row>
    <row r="697" spans="5:6" ht="13.2" x14ac:dyDescent="0.25">
      <c r="E697" s="13"/>
      <c r="F697" s="16"/>
    </row>
    <row r="698" spans="5:6" ht="13.2" x14ac:dyDescent="0.25">
      <c r="E698" s="13"/>
      <c r="F698" s="16"/>
    </row>
    <row r="699" spans="5:6" ht="13.2" x14ac:dyDescent="0.25">
      <c r="E699" s="13"/>
      <c r="F699" s="16"/>
    </row>
    <row r="700" spans="5:6" ht="13.2" x14ac:dyDescent="0.25">
      <c r="E700" s="13"/>
      <c r="F700" s="16"/>
    </row>
    <row r="701" spans="5:6" ht="13.2" x14ac:dyDescent="0.25">
      <c r="E701" s="13"/>
      <c r="F701" s="16"/>
    </row>
    <row r="702" spans="5:6" ht="13.2" x14ac:dyDescent="0.25">
      <c r="E702" s="13"/>
      <c r="F702" s="16"/>
    </row>
    <row r="703" spans="5:6" ht="13.2" x14ac:dyDescent="0.25">
      <c r="E703" s="13"/>
      <c r="F703" s="16"/>
    </row>
    <row r="704" spans="5:6" ht="13.2" x14ac:dyDescent="0.25">
      <c r="E704" s="13"/>
      <c r="F704" s="16"/>
    </row>
    <row r="705" spans="5:6" ht="13.2" x14ac:dyDescent="0.25">
      <c r="E705" s="13"/>
      <c r="F705" s="16"/>
    </row>
    <row r="706" spans="5:6" ht="13.2" x14ac:dyDescent="0.25">
      <c r="E706" s="13"/>
      <c r="F706" s="16"/>
    </row>
    <row r="707" spans="5:6" ht="13.2" x14ac:dyDescent="0.25">
      <c r="E707" s="13"/>
      <c r="F707" s="16"/>
    </row>
    <row r="708" spans="5:6" ht="13.2" x14ac:dyDescent="0.25">
      <c r="E708" s="13"/>
      <c r="F708" s="16"/>
    </row>
    <row r="709" spans="5:6" ht="13.2" x14ac:dyDescent="0.25">
      <c r="E709" s="13"/>
      <c r="F709" s="16"/>
    </row>
    <row r="710" spans="5:6" ht="13.2" x14ac:dyDescent="0.25">
      <c r="E710" s="13"/>
      <c r="F710" s="16"/>
    </row>
    <row r="711" spans="5:6" ht="13.2" x14ac:dyDescent="0.25">
      <c r="E711" s="13"/>
      <c r="F711" s="16"/>
    </row>
    <row r="712" spans="5:6" ht="13.2" x14ac:dyDescent="0.25">
      <c r="E712" s="13"/>
      <c r="F712" s="16"/>
    </row>
    <row r="713" spans="5:6" ht="13.2" x14ac:dyDescent="0.25">
      <c r="E713" s="13"/>
      <c r="F713" s="16"/>
    </row>
    <row r="714" spans="5:6" ht="13.2" x14ac:dyDescent="0.25">
      <c r="E714" s="13"/>
      <c r="F714" s="16"/>
    </row>
    <row r="715" spans="5:6" ht="13.2" x14ac:dyDescent="0.25">
      <c r="E715" s="13"/>
      <c r="F715" s="16"/>
    </row>
    <row r="716" spans="5:6" ht="13.2" x14ac:dyDescent="0.25">
      <c r="E716" s="13"/>
      <c r="F716" s="16"/>
    </row>
    <row r="717" spans="5:6" ht="13.2" x14ac:dyDescent="0.25">
      <c r="E717" s="13"/>
      <c r="F717" s="16"/>
    </row>
    <row r="718" spans="5:6" ht="13.2" x14ac:dyDescent="0.25">
      <c r="E718" s="13"/>
      <c r="F718" s="16"/>
    </row>
    <row r="719" spans="5:6" ht="13.2" x14ac:dyDescent="0.25">
      <c r="E719" s="13"/>
      <c r="F719" s="16"/>
    </row>
    <row r="720" spans="5:6" ht="13.2" x14ac:dyDescent="0.25">
      <c r="E720" s="13"/>
      <c r="F720" s="16"/>
    </row>
    <row r="721" spans="5:6" ht="13.2" x14ac:dyDescent="0.25">
      <c r="E721" s="13"/>
      <c r="F721" s="16"/>
    </row>
    <row r="722" spans="5:6" ht="13.2" x14ac:dyDescent="0.25">
      <c r="E722" s="13"/>
      <c r="F722" s="16"/>
    </row>
    <row r="723" spans="5:6" ht="13.2" x14ac:dyDescent="0.25">
      <c r="E723" s="13"/>
      <c r="F723" s="16"/>
    </row>
    <row r="724" spans="5:6" ht="13.2" x14ac:dyDescent="0.25">
      <c r="E724" s="13"/>
      <c r="F724" s="16"/>
    </row>
    <row r="725" spans="5:6" ht="13.2" x14ac:dyDescent="0.25">
      <c r="E725" s="13"/>
      <c r="F725" s="16"/>
    </row>
    <row r="726" spans="5:6" ht="13.2" x14ac:dyDescent="0.25">
      <c r="E726" s="13"/>
      <c r="F726" s="16"/>
    </row>
    <row r="727" spans="5:6" ht="13.2" x14ac:dyDescent="0.25">
      <c r="E727" s="13"/>
      <c r="F727" s="16"/>
    </row>
    <row r="728" spans="5:6" ht="13.2" x14ac:dyDescent="0.25">
      <c r="E728" s="13"/>
      <c r="F728" s="16"/>
    </row>
    <row r="729" spans="5:6" ht="13.2" x14ac:dyDescent="0.25">
      <c r="E729" s="13"/>
      <c r="F729" s="16"/>
    </row>
    <row r="730" spans="5:6" ht="13.2" x14ac:dyDescent="0.25">
      <c r="E730" s="13"/>
      <c r="F730" s="16"/>
    </row>
    <row r="731" spans="5:6" ht="13.2" x14ac:dyDescent="0.25">
      <c r="E731" s="13"/>
      <c r="F731" s="16"/>
    </row>
    <row r="732" spans="5:6" ht="13.2" x14ac:dyDescent="0.25">
      <c r="E732" s="13"/>
      <c r="F732" s="16"/>
    </row>
    <row r="733" spans="5:6" ht="13.2" x14ac:dyDescent="0.25">
      <c r="E733" s="13"/>
      <c r="F733" s="16"/>
    </row>
    <row r="734" spans="5:6" ht="13.2" x14ac:dyDescent="0.25">
      <c r="E734" s="13"/>
      <c r="F734" s="16"/>
    </row>
    <row r="735" spans="5:6" ht="13.2" x14ac:dyDescent="0.25">
      <c r="E735" s="13"/>
      <c r="F735" s="16"/>
    </row>
    <row r="736" spans="5:6" ht="13.2" x14ac:dyDescent="0.25">
      <c r="E736" s="13"/>
      <c r="F736" s="16"/>
    </row>
    <row r="737" spans="5:6" ht="13.2" x14ac:dyDescent="0.25">
      <c r="E737" s="13"/>
      <c r="F737" s="16"/>
    </row>
    <row r="738" spans="5:6" ht="13.2" x14ac:dyDescent="0.25">
      <c r="E738" s="13"/>
      <c r="F738" s="16"/>
    </row>
    <row r="739" spans="5:6" ht="13.2" x14ac:dyDescent="0.25">
      <c r="E739" s="13"/>
      <c r="F739" s="16"/>
    </row>
    <row r="740" spans="5:6" ht="13.2" x14ac:dyDescent="0.25">
      <c r="E740" s="13"/>
      <c r="F740" s="16"/>
    </row>
    <row r="741" spans="5:6" ht="13.2" x14ac:dyDescent="0.25">
      <c r="E741" s="13"/>
      <c r="F741" s="16"/>
    </row>
    <row r="742" spans="5:6" ht="13.2" x14ac:dyDescent="0.25">
      <c r="E742" s="13"/>
      <c r="F742" s="16"/>
    </row>
    <row r="743" spans="5:6" ht="13.2" x14ac:dyDescent="0.25">
      <c r="E743" s="13"/>
      <c r="F743" s="16"/>
    </row>
    <row r="744" spans="5:6" ht="13.2" x14ac:dyDescent="0.25">
      <c r="E744" s="13"/>
      <c r="F744" s="16"/>
    </row>
    <row r="745" spans="5:6" ht="13.2" x14ac:dyDescent="0.25">
      <c r="E745" s="13"/>
      <c r="F745" s="16"/>
    </row>
    <row r="746" spans="5:6" ht="13.2" x14ac:dyDescent="0.25">
      <c r="E746" s="13"/>
      <c r="F746" s="16"/>
    </row>
    <row r="747" spans="5:6" ht="13.2" x14ac:dyDescent="0.25">
      <c r="E747" s="13"/>
      <c r="F747" s="16"/>
    </row>
    <row r="748" spans="5:6" ht="13.2" x14ac:dyDescent="0.25">
      <c r="E748" s="13"/>
      <c r="F748" s="16"/>
    </row>
    <row r="749" spans="5:6" ht="13.2" x14ac:dyDescent="0.25">
      <c r="E749" s="13"/>
      <c r="F749" s="16"/>
    </row>
    <row r="750" spans="5:6" ht="13.2" x14ac:dyDescent="0.25">
      <c r="E750" s="13"/>
      <c r="F750" s="16"/>
    </row>
    <row r="751" spans="5:6" ht="13.2" x14ac:dyDescent="0.25">
      <c r="E751" s="13"/>
      <c r="F751" s="16"/>
    </row>
    <row r="752" spans="5:6" ht="13.2" x14ac:dyDescent="0.25">
      <c r="E752" s="13"/>
      <c r="F752" s="16"/>
    </row>
    <row r="753" spans="5:6" ht="13.2" x14ac:dyDescent="0.25">
      <c r="E753" s="13"/>
      <c r="F753" s="16"/>
    </row>
    <row r="754" spans="5:6" ht="13.2" x14ac:dyDescent="0.25">
      <c r="E754" s="13"/>
      <c r="F754" s="16"/>
    </row>
    <row r="755" spans="5:6" ht="13.2" x14ac:dyDescent="0.25">
      <c r="E755" s="13"/>
      <c r="F755" s="16"/>
    </row>
    <row r="756" spans="5:6" ht="13.2" x14ac:dyDescent="0.25">
      <c r="E756" s="13"/>
      <c r="F756" s="16"/>
    </row>
    <row r="757" spans="5:6" ht="13.2" x14ac:dyDescent="0.25">
      <c r="E757" s="13"/>
      <c r="F757" s="16"/>
    </row>
    <row r="758" spans="5:6" ht="13.2" x14ac:dyDescent="0.25">
      <c r="E758" s="13"/>
      <c r="F758" s="16"/>
    </row>
    <row r="759" spans="5:6" ht="13.2" x14ac:dyDescent="0.25">
      <c r="E759" s="13"/>
      <c r="F759" s="16"/>
    </row>
    <row r="760" spans="5:6" ht="13.2" x14ac:dyDescent="0.25">
      <c r="E760" s="13"/>
      <c r="F760" s="16"/>
    </row>
    <row r="761" spans="5:6" ht="13.2" x14ac:dyDescent="0.25">
      <c r="E761" s="13"/>
      <c r="F761" s="16"/>
    </row>
    <row r="762" spans="5:6" ht="13.2" x14ac:dyDescent="0.25">
      <c r="E762" s="13"/>
      <c r="F762" s="16"/>
    </row>
    <row r="763" spans="5:6" ht="13.2" x14ac:dyDescent="0.25">
      <c r="E763" s="13"/>
      <c r="F763" s="16"/>
    </row>
    <row r="764" spans="5:6" ht="13.2" x14ac:dyDescent="0.25">
      <c r="E764" s="13"/>
      <c r="F764" s="16"/>
    </row>
    <row r="765" spans="5:6" ht="13.2" x14ac:dyDescent="0.25">
      <c r="E765" s="13"/>
      <c r="F765" s="16"/>
    </row>
    <row r="766" spans="5:6" ht="13.2" x14ac:dyDescent="0.25">
      <c r="E766" s="13"/>
      <c r="F766" s="16"/>
    </row>
    <row r="767" spans="5:6" ht="13.2" x14ac:dyDescent="0.25">
      <c r="E767" s="13"/>
      <c r="F767" s="16"/>
    </row>
    <row r="768" spans="5:6" ht="13.2" x14ac:dyDescent="0.25">
      <c r="E768" s="13"/>
      <c r="F768" s="16"/>
    </row>
    <row r="769" spans="5:6" ht="13.2" x14ac:dyDescent="0.25">
      <c r="E769" s="13"/>
      <c r="F769" s="16"/>
    </row>
    <row r="770" spans="5:6" ht="13.2" x14ac:dyDescent="0.25">
      <c r="E770" s="13"/>
      <c r="F770" s="16"/>
    </row>
    <row r="771" spans="5:6" ht="13.2" x14ac:dyDescent="0.25">
      <c r="E771" s="13"/>
      <c r="F771" s="16"/>
    </row>
    <row r="772" spans="5:6" ht="13.2" x14ac:dyDescent="0.25">
      <c r="E772" s="13"/>
      <c r="F772" s="16"/>
    </row>
    <row r="773" spans="5:6" ht="13.2" x14ac:dyDescent="0.25">
      <c r="E773" s="13"/>
      <c r="F773" s="16"/>
    </row>
    <row r="774" spans="5:6" ht="13.2" x14ac:dyDescent="0.25">
      <c r="E774" s="13"/>
      <c r="F774" s="16"/>
    </row>
    <row r="775" spans="5:6" ht="13.2" x14ac:dyDescent="0.25">
      <c r="E775" s="13"/>
      <c r="F775" s="16"/>
    </row>
    <row r="776" spans="5:6" ht="13.2" x14ac:dyDescent="0.25">
      <c r="E776" s="13"/>
      <c r="F776" s="16"/>
    </row>
    <row r="777" spans="5:6" ht="13.2" x14ac:dyDescent="0.25">
      <c r="E777" s="13"/>
      <c r="F777" s="16"/>
    </row>
    <row r="778" spans="5:6" ht="13.2" x14ac:dyDescent="0.25">
      <c r="E778" s="13"/>
      <c r="F778" s="16"/>
    </row>
    <row r="779" spans="5:6" ht="13.2" x14ac:dyDescent="0.25">
      <c r="E779" s="13"/>
      <c r="F779" s="16"/>
    </row>
    <row r="780" spans="5:6" ht="13.2" x14ac:dyDescent="0.25">
      <c r="E780" s="13"/>
      <c r="F780" s="16"/>
    </row>
    <row r="781" spans="5:6" ht="13.2" x14ac:dyDescent="0.25">
      <c r="E781" s="13"/>
      <c r="F781" s="16"/>
    </row>
    <row r="782" spans="5:6" ht="13.2" x14ac:dyDescent="0.25">
      <c r="E782" s="13"/>
      <c r="F782" s="16"/>
    </row>
    <row r="783" spans="5:6" ht="13.2" x14ac:dyDescent="0.25">
      <c r="E783" s="13"/>
      <c r="F783" s="16"/>
    </row>
    <row r="784" spans="5:6" ht="13.2" x14ac:dyDescent="0.25">
      <c r="E784" s="13"/>
      <c r="F784" s="16"/>
    </row>
    <row r="785" spans="5:6" ht="13.2" x14ac:dyDescent="0.25">
      <c r="E785" s="13"/>
      <c r="F785" s="16"/>
    </row>
    <row r="786" spans="5:6" ht="13.2" x14ac:dyDescent="0.25">
      <c r="E786" s="13"/>
      <c r="F786" s="16"/>
    </row>
    <row r="787" spans="5:6" ht="13.2" x14ac:dyDescent="0.25">
      <c r="E787" s="13"/>
      <c r="F787" s="16"/>
    </row>
    <row r="788" spans="5:6" ht="13.2" x14ac:dyDescent="0.25">
      <c r="E788" s="13"/>
      <c r="F788" s="16"/>
    </row>
    <row r="789" spans="5:6" ht="13.2" x14ac:dyDescent="0.25">
      <c r="E789" s="13"/>
      <c r="F789" s="16"/>
    </row>
    <row r="790" spans="5:6" ht="13.2" x14ac:dyDescent="0.25">
      <c r="E790" s="13"/>
      <c r="F790" s="16"/>
    </row>
    <row r="791" spans="5:6" ht="13.2" x14ac:dyDescent="0.25">
      <c r="E791" s="13"/>
      <c r="F791" s="16"/>
    </row>
    <row r="792" spans="5:6" ht="13.2" x14ac:dyDescent="0.25">
      <c r="E792" s="13"/>
      <c r="F792" s="16"/>
    </row>
    <row r="793" spans="5:6" ht="13.2" x14ac:dyDescent="0.25">
      <c r="E793" s="13"/>
      <c r="F793" s="16"/>
    </row>
    <row r="794" spans="5:6" ht="13.2" x14ac:dyDescent="0.25">
      <c r="E794" s="13"/>
      <c r="F794" s="16"/>
    </row>
    <row r="795" spans="5:6" ht="13.2" x14ac:dyDescent="0.25">
      <c r="E795" s="13"/>
      <c r="F795" s="16"/>
    </row>
    <row r="796" spans="5:6" ht="13.2" x14ac:dyDescent="0.25">
      <c r="E796" s="13"/>
      <c r="F796" s="16"/>
    </row>
    <row r="797" spans="5:6" ht="13.2" x14ac:dyDescent="0.25">
      <c r="E797" s="13"/>
      <c r="F797" s="16"/>
    </row>
    <row r="798" spans="5:6" ht="13.2" x14ac:dyDescent="0.25">
      <c r="E798" s="13"/>
      <c r="F798" s="16"/>
    </row>
    <row r="799" spans="5:6" ht="13.2" x14ac:dyDescent="0.25">
      <c r="E799" s="13"/>
      <c r="F799" s="16"/>
    </row>
    <row r="800" spans="5:6" ht="13.2" x14ac:dyDescent="0.25">
      <c r="E800" s="13"/>
      <c r="F800" s="16"/>
    </row>
    <row r="801" spans="5:6" ht="13.2" x14ac:dyDescent="0.25">
      <c r="E801" s="13"/>
      <c r="F801" s="16"/>
    </row>
    <row r="802" spans="5:6" ht="13.2" x14ac:dyDescent="0.25">
      <c r="E802" s="13"/>
      <c r="F802" s="16"/>
    </row>
    <row r="803" spans="5:6" ht="13.2" x14ac:dyDescent="0.25">
      <c r="E803" s="13"/>
      <c r="F803" s="16"/>
    </row>
    <row r="804" spans="5:6" ht="13.2" x14ac:dyDescent="0.25">
      <c r="E804" s="13"/>
      <c r="F804" s="16"/>
    </row>
    <row r="805" spans="5:6" ht="13.2" x14ac:dyDescent="0.25">
      <c r="E805" s="13"/>
      <c r="F805" s="16"/>
    </row>
    <row r="806" spans="5:6" ht="13.2" x14ac:dyDescent="0.25">
      <c r="E806" s="13"/>
      <c r="F806" s="16"/>
    </row>
    <row r="807" spans="5:6" ht="13.2" x14ac:dyDescent="0.25">
      <c r="E807" s="13"/>
      <c r="F807" s="16"/>
    </row>
    <row r="808" spans="5:6" ht="13.2" x14ac:dyDescent="0.25">
      <c r="E808" s="13"/>
      <c r="F808" s="16"/>
    </row>
    <row r="809" spans="5:6" ht="13.2" x14ac:dyDescent="0.25">
      <c r="E809" s="13"/>
      <c r="F809" s="16"/>
    </row>
    <row r="810" spans="5:6" ht="13.2" x14ac:dyDescent="0.25">
      <c r="E810" s="13"/>
      <c r="F810" s="16"/>
    </row>
    <row r="811" spans="5:6" ht="13.2" x14ac:dyDescent="0.25">
      <c r="E811" s="13"/>
      <c r="F811" s="16"/>
    </row>
    <row r="812" spans="5:6" ht="13.2" x14ac:dyDescent="0.25">
      <c r="E812" s="13"/>
      <c r="F812" s="16"/>
    </row>
    <row r="813" spans="5:6" ht="13.2" x14ac:dyDescent="0.25">
      <c r="E813" s="13"/>
      <c r="F813" s="16"/>
    </row>
    <row r="814" spans="5:6" ht="13.2" x14ac:dyDescent="0.25">
      <c r="E814" s="13"/>
      <c r="F814" s="16"/>
    </row>
    <row r="815" spans="5:6" ht="13.2" x14ac:dyDescent="0.25">
      <c r="E815" s="13"/>
      <c r="F815" s="16"/>
    </row>
    <row r="816" spans="5:6" ht="13.2" x14ac:dyDescent="0.25">
      <c r="E816" s="13"/>
      <c r="F816" s="16"/>
    </row>
    <row r="817" spans="5:6" ht="13.2" x14ac:dyDescent="0.25">
      <c r="E817" s="13"/>
      <c r="F817" s="16"/>
    </row>
    <row r="818" spans="5:6" ht="13.2" x14ac:dyDescent="0.25">
      <c r="E818" s="13"/>
      <c r="F818" s="16"/>
    </row>
    <row r="819" spans="5:6" ht="13.2" x14ac:dyDescent="0.25">
      <c r="E819" s="13"/>
      <c r="F819" s="16"/>
    </row>
    <row r="820" spans="5:6" ht="13.2" x14ac:dyDescent="0.25">
      <c r="E820" s="13"/>
      <c r="F820" s="16"/>
    </row>
    <row r="821" spans="5:6" ht="13.2" x14ac:dyDescent="0.25">
      <c r="E821" s="13"/>
      <c r="F821" s="16"/>
    </row>
    <row r="822" spans="5:6" ht="13.2" x14ac:dyDescent="0.25">
      <c r="E822" s="13"/>
      <c r="F822" s="16"/>
    </row>
    <row r="823" spans="5:6" ht="13.2" x14ac:dyDescent="0.25">
      <c r="E823" s="13"/>
      <c r="F823" s="16"/>
    </row>
    <row r="824" spans="5:6" ht="13.2" x14ac:dyDescent="0.25">
      <c r="E824" s="13"/>
      <c r="F824" s="16"/>
    </row>
    <row r="825" spans="5:6" ht="13.2" x14ac:dyDescent="0.25">
      <c r="E825" s="13"/>
      <c r="F825" s="16"/>
    </row>
    <row r="826" spans="5:6" ht="13.2" x14ac:dyDescent="0.25">
      <c r="E826" s="13"/>
      <c r="F826" s="16"/>
    </row>
    <row r="827" spans="5:6" ht="13.2" x14ac:dyDescent="0.25">
      <c r="E827" s="13"/>
      <c r="F827" s="16"/>
    </row>
    <row r="828" spans="5:6" ht="13.2" x14ac:dyDescent="0.25">
      <c r="E828" s="13"/>
      <c r="F828" s="16"/>
    </row>
    <row r="829" spans="5:6" ht="13.2" x14ac:dyDescent="0.25">
      <c r="E829" s="13"/>
      <c r="F829" s="16"/>
    </row>
    <row r="830" spans="5:6" ht="13.2" x14ac:dyDescent="0.25">
      <c r="E830" s="13"/>
      <c r="F830" s="16"/>
    </row>
    <row r="831" spans="5:6" ht="13.2" x14ac:dyDescent="0.25">
      <c r="E831" s="13"/>
      <c r="F831" s="16"/>
    </row>
    <row r="832" spans="5:6" ht="13.2" x14ac:dyDescent="0.25">
      <c r="E832" s="13"/>
      <c r="F832" s="16"/>
    </row>
    <row r="833" spans="5:6" ht="13.2" x14ac:dyDescent="0.25">
      <c r="E833" s="13"/>
      <c r="F833" s="16"/>
    </row>
    <row r="834" spans="5:6" ht="13.2" x14ac:dyDescent="0.25">
      <c r="E834" s="13"/>
      <c r="F834" s="16"/>
    </row>
    <row r="835" spans="5:6" ht="13.2" x14ac:dyDescent="0.25">
      <c r="E835" s="13"/>
      <c r="F835" s="16"/>
    </row>
    <row r="836" spans="5:6" ht="13.2" x14ac:dyDescent="0.25">
      <c r="E836" s="13"/>
      <c r="F836" s="16"/>
    </row>
    <row r="837" spans="5:6" ht="13.2" x14ac:dyDescent="0.25">
      <c r="E837" s="13"/>
      <c r="F837" s="16"/>
    </row>
    <row r="838" spans="5:6" ht="13.2" x14ac:dyDescent="0.25">
      <c r="E838" s="13"/>
      <c r="F838" s="16"/>
    </row>
    <row r="839" spans="5:6" ht="13.2" x14ac:dyDescent="0.25">
      <c r="E839" s="13"/>
      <c r="F839" s="16"/>
    </row>
    <row r="840" spans="5:6" ht="13.2" x14ac:dyDescent="0.25">
      <c r="E840" s="13"/>
      <c r="F840" s="16"/>
    </row>
    <row r="841" spans="5:6" ht="13.2" x14ac:dyDescent="0.25">
      <c r="E841" s="13"/>
      <c r="F841" s="16"/>
    </row>
    <row r="842" spans="5:6" ht="13.2" x14ac:dyDescent="0.25">
      <c r="E842" s="13"/>
      <c r="F842" s="16"/>
    </row>
    <row r="843" spans="5:6" ht="13.2" x14ac:dyDescent="0.25">
      <c r="E843" s="13"/>
      <c r="F843" s="16"/>
    </row>
    <row r="844" spans="5:6" ht="13.2" x14ac:dyDescent="0.25">
      <c r="E844" s="13"/>
      <c r="F844" s="16"/>
    </row>
    <row r="845" spans="5:6" ht="13.2" x14ac:dyDescent="0.25">
      <c r="E845" s="13"/>
      <c r="F845" s="16"/>
    </row>
    <row r="846" spans="5:6" ht="13.2" x14ac:dyDescent="0.25">
      <c r="E846" s="13"/>
      <c r="F846" s="16"/>
    </row>
    <row r="847" spans="5:6" ht="13.2" x14ac:dyDescent="0.25">
      <c r="E847" s="13"/>
      <c r="F847" s="16"/>
    </row>
    <row r="848" spans="5:6" ht="13.2" x14ac:dyDescent="0.25">
      <c r="E848" s="13"/>
      <c r="F848" s="16"/>
    </row>
    <row r="849" spans="5:6" ht="13.2" x14ac:dyDescent="0.25">
      <c r="E849" s="13"/>
      <c r="F849" s="16"/>
    </row>
    <row r="850" spans="5:6" ht="13.2" x14ac:dyDescent="0.25">
      <c r="E850" s="13"/>
      <c r="F850" s="16"/>
    </row>
    <row r="851" spans="5:6" ht="13.2" x14ac:dyDescent="0.25">
      <c r="E851" s="13"/>
      <c r="F851" s="16"/>
    </row>
    <row r="852" spans="5:6" ht="13.2" x14ac:dyDescent="0.25">
      <c r="E852" s="13"/>
      <c r="F852" s="16"/>
    </row>
    <row r="853" spans="5:6" ht="13.2" x14ac:dyDescent="0.25">
      <c r="E853" s="13"/>
      <c r="F853" s="16"/>
    </row>
    <row r="854" spans="5:6" ht="13.2" x14ac:dyDescent="0.25">
      <c r="E854" s="13"/>
      <c r="F854" s="16"/>
    </row>
    <row r="855" spans="5:6" ht="13.2" x14ac:dyDescent="0.25">
      <c r="E855" s="13"/>
      <c r="F855" s="16"/>
    </row>
    <row r="856" spans="5:6" ht="13.2" x14ac:dyDescent="0.25">
      <c r="E856" s="13"/>
      <c r="F856" s="16"/>
    </row>
    <row r="857" spans="5:6" ht="13.2" x14ac:dyDescent="0.25">
      <c r="E857" s="13"/>
      <c r="F857" s="16"/>
    </row>
    <row r="858" spans="5:6" ht="13.2" x14ac:dyDescent="0.25">
      <c r="E858" s="13"/>
      <c r="F858" s="16"/>
    </row>
    <row r="859" spans="5:6" ht="13.2" x14ac:dyDescent="0.25">
      <c r="E859" s="13"/>
      <c r="F859" s="16"/>
    </row>
    <row r="860" spans="5:6" ht="13.2" x14ac:dyDescent="0.25">
      <c r="E860" s="13"/>
      <c r="F860" s="16"/>
    </row>
    <row r="861" spans="5:6" ht="13.2" x14ac:dyDescent="0.25">
      <c r="E861" s="13"/>
      <c r="F861" s="16"/>
    </row>
    <row r="862" spans="5:6" ht="13.2" x14ac:dyDescent="0.25">
      <c r="E862" s="13"/>
      <c r="F862" s="16"/>
    </row>
    <row r="863" spans="5:6" ht="13.2" x14ac:dyDescent="0.25">
      <c r="E863" s="13"/>
      <c r="F863" s="16"/>
    </row>
    <row r="864" spans="5:6" ht="13.2" x14ac:dyDescent="0.25">
      <c r="E864" s="13"/>
      <c r="F864" s="16"/>
    </row>
    <row r="865" spans="5:6" ht="13.2" x14ac:dyDescent="0.25">
      <c r="E865" s="13"/>
      <c r="F865" s="16"/>
    </row>
    <row r="866" spans="5:6" ht="13.2" x14ac:dyDescent="0.25">
      <c r="E866" s="13"/>
      <c r="F866" s="16"/>
    </row>
    <row r="867" spans="5:6" ht="13.2" x14ac:dyDescent="0.25">
      <c r="E867" s="13"/>
      <c r="F867" s="16"/>
    </row>
    <row r="868" spans="5:6" ht="13.2" x14ac:dyDescent="0.25">
      <c r="E868" s="13"/>
      <c r="F868" s="16"/>
    </row>
    <row r="869" spans="5:6" ht="13.2" x14ac:dyDescent="0.25">
      <c r="E869" s="13"/>
      <c r="F869" s="16"/>
    </row>
    <row r="870" spans="5:6" ht="13.2" x14ac:dyDescent="0.25">
      <c r="E870" s="13"/>
      <c r="F870" s="16"/>
    </row>
    <row r="871" spans="5:6" ht="13.2" x14ac:dyDescent="0.25">
      <c r="E871" s="13"/>
      <c r="F871" s="16"/>
    </row>
    <row r="872" spans="5:6" ht="13.2" x14ac:dyDescent="0.25">
      <c r="E872" s="13"/>
      <c r="F872" s="16"/>
    </row>
    <row r="873" spans="5:6" ht="13.2" x14ac:dyDescent="0.25">
      <c r="E873" s="13"/>
      <c r="F873" s="16"/>
    </row>
    <row r="874" spans="5:6" ht="13.2" x14ac:dyDescent="0.25">
      <c r="E874" s="13"/>
      <c r="F874" s="16"/>
    </row>
    <row r="875" spans="5:6" ht="13.2" x14ac:dyDescent="0.25">
      <c r="E875" s="13"/>
      <c r="F875" s="16"/>
    </row>
    <row r="876" spans="5:6" ht="13.2" x14ac:dyDescent="0.25">
      <c r="E876" s="13"/>
      <c r="F876" s="16"/>
    </row>
    <row r="877" spans="5:6" ht="13.2" x14ac:dyDescent="0.25">
      <c r="E877" s="13"/>
      <c r="F877" s="16"/>
    </row>
    <row r="878" spans="5:6" ht="13.2" x14ac:dyDescent="0.25">
      <c r="E878" s="13"/>
      <c r="F878" s="16"/>
    </row>
    <row r="879" spans="5:6" ht="13.2" x14ac:dyDescent="0.25">
      <c r="E879" s="13"/>
      <c r="F879" s="16"/>
    </row>
    <row r="880" spans="5:6" ht="13.2" x14ac:dyDescent="0.25">
      <c r="E880" s="13"/>
      <c r="F880" s="16"/>
    </row>
    <row r="881" spans="5:6" ht="13.2" x14ac:dyDescent="0.25">
      <c r="E881" s="13"/>
      <c r="F881" s="16"/>
    </row>
    <row r="882" spans="5:6" ht="13.2" x14ac:dyDescent="0.25">
      <c r="E882" s="13"/>
      <c r="F882" s="16"/>
    </row>
    <row r="883" spans="5:6" ht="13.2" x14ac:dyDescent="0.25">
      <c r="E883" s="13"/>
      <c r="F883" s="16"/>
    </row>
    <row r="884" spans="5:6" ht="13.2" x14ac:dyDescent="0.25">
      <c r="E884" s="13"/>
      <c r="F884" s="16"/>
    </row>
    <row r="885" spans="5:6" ht="13.2" x14ac:dyDescent="0.25">
      <c r="E885" s="13"/>
      <c r="F885" s="16"/>
    </row>
    <row r="886" spans="5:6" ht="13.2" x14ac:dyDescent="0.25">
      <c r="E886" s="13"/>
      <c r="F886" s="16"/>
    </row>
    <row r="887" spans="5:6" ht="13.2" x14ac:dyDescent="0.25">
      <c r="E887" s="13"/>
      <c r="F887" s="16"/>
    </row>
    <row r="888" spans="5:6" ht="13.2" x14ac:dyDescent="0.25">
      <c r="E888" s="13"/>
      <c r="F888" s="16"/>
    </row>
    <row r="889" spans="5:6" ht="13.2" x14ac:dyDescent="0.25">
      <c r="E889" s="13"/>
      <c r="F889" s="16"/>
    </row>
    <row r="890" spans="5:6" ht="13.2" x14ac:dyDescent="0.25">
      <c r="E890" s="13"/>
      <c r="F890" s="16"/>
    </row>
    <row r="891" spans="5:6" ht="13.2" x14ac:dyDescent="0.25">
      <c r="E891" s="13"/>
      <c r="F891" s="16"/>
    </row>
    <row r="892" spans="5:6" ht="13.2" x14ac:dyDescent="0.25">
      <c r="E892" s="13"/>
      <c r="F892" s="16"/>
    </row>
    <row r="893" spans="5:6" ht="13.2" x14ac:dyDescent="0.25">
      <c r="E893" s="13"/>
      <c r="F893" s="16"/>
    </row>
    <row r="894" spans="5:6" ht="13.2" x14ac:dyDescent="0.25">
      <c r="E894" s="13"/>
      <c r="F894" s="16"/>
    </row>
    <row r="895" spans="5:6" ht="13.2" x14ac:dyDescent="0.25">
      <c r="E895" s="13"/>
      <c r="F895" s="16"/>
    </row>
    <row r="896" spans="5:6" ht="13.2" x14ac:dyDescent="0.25">
      <c r="E896" s="13"/>
      <c r="F896" s="16"/>
    </row>
    <row r="897" spans="5:6" ht="13.2" x14ac:dyDescent="0.25">
      <c r="E897" s="13"/>
      <c r="F897" s="16"/>
    </row>
    <row r="898" spans="5:6" ht="13.2" x14ac:dyDescent="0.25">
      <c r="E898" s="13"/>
      <c r="F898" s="16"/>
    </row>
    <row r="899" spans="5:6" ht="13.2" x14ac:dyDescent="0.25">
      <c r="E899" s="13"/>
      <c r="F899" s="16"/>
    </row>
    <row r="900" spans="5:6" ht="13.2" x14ac:dyDescent="0.25">
      <c r="E900" s="13"/>
      <c r="F900" s="16"/>
    </row>
    <row r="901" spans="5:6" ht="13.2" x14ac:dyDescent="0.25">
      <c r="E901" s="13"/>
      <c r="F901" s="16"/>
    </row>
    <row r="902" spans="5:6" ht="13.2" x14ac:dyDescent="0.25">
      <c r="E902" s="13"/>
      <c r="F902" s="16"/>
    </row>
    <row r="903" spans="5:6" ht="13.2" x14ac:dyDescent="0.25">
      <c r="E903" s="13"/>
      <c r="F903" s="16"/>
    </row>
    <row r="904" spans="5:6" ht="13.2" x14ac:dyDescent="0.25">
      <c r="E904" s="13"/>
      <c r="F904" s="16"/>
    </row>
    <row r="905" spans="5:6" ht="13.2" x14ac:dyDescent="0.25">
      <c r="E905" s="13"/>
      <c r="F905" s="16"/>
    </row>
    <row r="906" spans="5:6" ht="13.2" x14ac:dyDescent="0.25">
      <c r="E906" s="13"/>
      <c r="F906" s="16"/>
    </row>
    <row r="907" spans="5:6" ht="13.2" x14ac:dyDescent="0.25">
      <c r="E907" s="13"/>
      <c r="F907" s="16"/>
    </row>
    <row r="908" spans="5:6" ht="13.2" x14ac:dyDescent="0.25">
      <c r="E908" s="13"/>
      <c r="F908" s="16"/>
    </row>
    <row r="909" spans="5:6" ht="13.2" x14ac:dyDescent="0.25">
      <c r="E909" s="13"/>
      <c r="F909" s="16"/>
    </row>
    <row r="910" spans="5:6" ht="13.2" x14ac:dyDescent="0.25">
      <c r="E910" s="13"/>
      <c r="F910" s="16"/>
    </row>
    <row r="911" spans="5:6" ht="13.2" x14ac:dyDescent="0.25">
      <c r="E911" s="13"/>
      <c r="F911" s="16"/>
    </row>
    <row r="912" spans="5:6" ht="13.2" x14ac:dyDescent="0.25">
      <c r="E912" s="13"/>
      <c r="F912" s="16"/>
    </row>
    <row r="913" spans="5:6" ht="13.2" x14ac:dyDescent="0.25">
      <c r="E913" s="13"/>
      <c r="F913" s="16"/>
    </row>
    <row r="914" spans="5:6" ht="13.2" x14ac:dyDescent="0.25">
      <c r="E914" s="13"/>
      <c r="F914" s="16"/>
    </row>
    <row r="915" spans="5:6" ht="13.2" x14ac:dyDescent="0.25">
      <c r="E915" s="13"/>
      <c r="F915" s="16"/>
    </row>
    <row r="916" spans="5:6" ht="13.2" x14ac:dyDescent="0.25">
      <c r="E916" s="13"/>
      <c r="F916" s="16"/>
    </row>
    <row r="917" spans="5:6" ht="13.2" x14ac:dyDescent="0.25">
      <c r="E917" s="13"/>
      <c r="F917" s="16"/>
    </row>
    <row r="918" spans="5:6" ht="13.2" x14ac:dyDescent="0.25">
      <c r="E918" s="13"/>
      <c r="F918" s="16"/>
    </row>
    <row r="919" spans="5:6" ht="13.2" x14ac:dyDescent="0.25">
      <c r="E919" s="13"/>
      <c r="F919" s="16"/>
    </row>
    <row r="920" spans="5:6" ht="13.2" x14ac:dyDescent="0.25">
      <c r="E920" s="13"/>
      <c r="F920" s="16"/>
    </row>
    <row r="921" spans="5:6" ht="13.2" x14ac:dyDescent="0.25">
      <c r="E921" s="13"/>
      <c r="F921" s="16"/>
    </row>
    <row r="922" spans="5:6" ht="13.2" x14ac:dyDescent="0.25">
      <c r="E922" s="13"/>
      <c r="F922" s="16"/>
    </row>
    <row r="923" spans="5:6" ht="13.2" x14ac:dyDescent="0.25">
      <c r="E923" s="13"/>
      <c r="F923" s="16"/>
    </row>
    <row r="924" spans="5:6" ht="13.2" x14ac:dyDescent="0.25">
      <c r="E924" s="13"/>
      <c r="F924" s="16"/>
    </row>
    <row r="925" spans="5:6" ht="13.2" x14ac:dyDescent="0.25">
      <c r="E925" s="13"/>
      <c r="F925" s="16"/>
    </row>
    <row r="926" spans="5:6" ht="13.2" x14ac:dyDescent="0.25">
      <c r="E926" s="13"/>
      <c r="F926" s="16"/>
    </row>
    <row r="927" spans="5:6" ht="13.2" x14ac:dyDescent="0.25">
      <c r="E927" s="13"/>
      <c r="F927" s="16"/>
    </row>
    <row r="928" spans="5:6" ht="13.2" x14ac:dyDescent="0.25">
      <c r="E928" s="13"/>
      <c r="F928" s="16"/>
    </row>
    <row r="929" spans="5:6" ht="13.2" x14ac:dyDescent="0.25">
      <c r="E929" s="13"/>
      <c r="F929" s="16"/>
    </row>
    <row r="930" spans="5:6" ht="13.2" x14ac:dyDescent="0.25">
      <c r="E930" s="13"/>
      <c r="F930" s="16"/>
    </row>
    <row r="931" spans="5:6" ht="13.2" x14ac:dyDescent="0.25">
      <c r="E931" s="13"/>
      <c r="F931" s="16"/>
    </row>
    <row r="932" spans="5:6" ht="13.2" x14ac:dyDescent="0.25">
      <c r="E932" s="13"/>
      <c r="F932" s="16"/>
    </row>
    <row r="933" spans="5:6" ht="13.2" x14ac:dyDescent="0.25">
      <c r="E933" s="13"/>
      <c r="F933" s="16"/>
    </row>
    <row r="934" spans="5:6" ht="13.2" x14ac:dyDescent="0.25">
      <c r="E934" s="13"/>
      <c r="F934" s="16"/>
    </row>
    <row r="935" spans="5:6" ht="13.2" x14ac:dyDescent="0.25">
      <c r="E935" s="13"/>
      <c r="F935" s="16"/>
    </row>
    <row r="936" spans="5:6" ht="13.2" x14ac:dyDescent="0.25">
      <c r="E936" s="13"/>
      <c r="F936" s="16"/>
    </row>
    <row r="937" spans="5:6" ht="13.2" x14ac:dyDescent="0.25">
      <c r="E937" s="13"/>
      <c r="F937" s="16"/>
    </row>
    <row r="938" spans="5:6" ht="13.2" x14ac:dyDescent="0.25">
      <c r="E938" s="13"/>
      <c r="F938" s="16"/>
    </row>
    <row r="939" spans="5:6" ht="13.2" x14ac:dyDescent="0.25">
      <c r="E939" s="13"/>
      <c r="F939" s="16"/>
    </row>
    <row r="940" spans="5:6" ht="13.2" x14ac:dyDescent="0.25">
      <c r="E940" s="13"/>
      <c r="F940" s="16"/>
    </row>
    <row r="941" spans="5:6" ht="13.2" x14ac:dyDescent="0.25">
      <c r="E941" s="13"/>
      <c r="F941" s="16"/>
    </row>
    <row r="942" spans="5:6" ht="13.2" x14ac:dyDescent="0.25">
      <c r="E942" s="13"/>
      <c r="F942" s="16"/>
    </row>
    <row r="943" spans="5:6" ht="13.2" x14ac:dyDescent="0.25">
      <c r="E943" s="13"/>
      <c r="F943" s="16"/>
    </row>
    <row r="944" spans="5:6" ht="13.2" x14ac:dyDescent="0.25">
      <c r="E944" s="13"/>
      <c r="F944" s="16"/>
    </row>
    <row r="945" spans="5:6" ht="13.2" x14ac:dyDescent="0.25">
      <c r="E945" s="13"/>
      <c r="F945" s="16"/>
    </row>
    <row r="946" spans="5:6" ht="13.2" x14ac:dyDescent="0.25">
      <c r="E946" s="13"/>
      <c r="F946" s="16"/>
    </row>
    <row r="947" spans="5:6" ht="13.2" x14ac:dyDescent="0.25">
      <c r="E947" s="13"/>
      <c r="F947" s="16"/>
    </row>
    <row r="948" spans="5:6" ht="13.2" x14ac:dyDescent="0.25">
      <c r="E948" s="13"/>
      <c r="F948" s="16"/>
    </row>
    <row r="949" spans="5:6" ht="13.2" x14ac:dyDescent="0.25">
      <c r="E949" s="13"/>
      <c r="F949" s="16"/>
    </row>
    <row r="950" spans="5:6" ht="13.2" x14ac:dyDescent="0.25">
      <c r="E950" s="13"/>
      <c r="F950" s="16"/>
    </row>
    <row r="951" spans="5:6" ht="13.2" x14ac:dyDescent="0.25">
      <c r="E951" s="13"/>
      <c r="F951" s="16"/>
    </row>
    <row r="952" spans="5:6" ht="13.2" x14ac:dyDescent="0.25">
      <c r="E952" s="13"/>
      <c r="F952" s="16"/>
    </row>
    <row r="953" spans="5:6" ht="13.2" x14ac:dyDescent="0.25">
      <c r="E953" s="13"/>
      <c r="F953" s="16"/>
    </row>
    <row r="954" spans="5:6" ht="13.2" x14ac:dyDescent="0.25">
      <c r="E954" s="13"/>
      <c r="F954" s="16"/>
    </row>
    <row r="955" spans="5:6" ht="13.2" x14ac:dyDescent="0.25">
      <c r="E955" s="13"/>
      <c r="F955" s="16"/>
    </row>
    <row r="956" spans="5:6" ht="13.2" x14ac:dyDescent="0.25">
      <c r="E956" s="13"/>
      <c r="F956" s="16"/>
    </row>
    <row r="957" spans="5:6" ht="13.2" x14ac:dyDescent="0.25">
      <c r="E957" s="13"/>
      <c r="F957" s="16"/>
    </row>
    <row r="958" spans="5:6" ht="13.2" x14ac:dyDescent="0.25">
      <c r="E958" s="13"/>
      <c r="F958" s="16"/>
    </row>
    <row r="959" spans="5:6" ht="13.2" x14ac:dyDescent="0.25">
      <c r="E959" s="13"/>
      <c r="F959" s="16"/>
    </row>
    <row r="960" spans="5:6" ht="13.2" x14ac:dyDescent="0.25">
      <c r="E960" s="13"/>
      <c r="F960" s="16"/>
    </row>
    <row r="961" spans="5:6" ht="13.2" x14ac:dyDescent="0.25">
      <c r="E961" s="13"/>
      <c r="F961" s="16"/>
    </row>
    <row r="962" spans="5:6" ht="13.2" x14ac:dyDescent="0.25">
      <c r="E962" s="13"/>
      <c r="F962" s="16"/>
    </row>
    <row r="963" spans="5:6" ht="13.2" x14ac:dyDescent="0.25">
      <c r="E963" s="13"/>
      <c r="F963" s="16"/>
    </row>
    <row r="964" spans="5:6" ht="13.2" x14ac:dyDescent="0.25">
      <c r="E964" s="13"/>
      <c r="F964" s="16"/>
    </row>
    <row r="965" spans="5:6" ht="13.2" x14ac:dyDescent="0.25">
      <c r="E965" s="13"/>
      <c r="F965" s="16"/>
    </row>
    <row r="966" spans="5:6" ht="13.2" x14ac:dyDescent="0.25">
      <c r="E966" s="13"/>
      <c r="F966" s="16"/>
    </row>
    <row r="967" spans="5:6" ht="13.2" x14ac:dyDescent="0.25">
      <c r="E967" s="13"/>
      <c r="F967" s="16"/>
    </row>
    <row r="968" spans="5:6" ht="13.2" x14ac:dyDescent="0.25">
      <c r="E968" s="13"/>
      <c r="F968" s="16"/>
    </row>
    <row r="969" spans="5:6" ht="13.2" x14ac:dyDescent="0.25">
      <c r="E969" s="13"/>
      <c r="F969" s="16"/>
    </row>
    <row r="970" spans="5:6" ht="13.2" x14ac:dyDescent="0.25">
      <c r="E970" s="13"/>
      <c r="F970" s="16"/>
    </row>
    <row r="971" spans="5:6" ht="13.2" x14ac:dyDescent="0.25">
      <c r="E971" s="13"/>
      <c r="F971" s="16"/>
    </row>
    <row r="972" spans="5:6" ht="13.2" x14ac:dyDescent="0.25">
      <c r="E972" s="13"/>
      <c r="F972" s="16"/>
    </row>
    <row r="973" spans="5:6" ht="13.2" x14ac:dyDescent="0.25">
      <c r="E973" s="13"/>
      <c r="F973" s="16"/>
    </row>
    <row r="974" spans="5:6" ht="13.2" x14ac:dyDescent="0.25">
      <c r="E974" s="13"/>
      <c r="F974" s="16"/>
    </row>
    <row r="975" spans="5:6" ht="13.2" x14ac:dyDescent="0.25">
      <c r="E975" s="13"/>
      <c r="F975" s="16"/>
    </row>
    <row r="976" spans="5:6" ht="13.2" x14ac:dyDescent="0.25">
      <c r="E976" s="13"/>
      <c r="F976" s="16"/>
    </row>
    <row r="977" spans="5:6" ht="13.2" x14ac:dyDescent="0.25">
      <c r="E977" s="13"/>
      <c r="F977" s="16"/>
    </row>
    <row r="978" spans="5:6" ht="13.2" x14ac:dyDescent="0.25">
      <c r="E978" s="13"/>
      <c r="F978" s="16"/>
    </row>
    <row r="979" spans="5:6" ht="13.2" x14ac:dyDescent="0.25">
      <c r="E979" s="13"/>
      <c r="F979" s="16"/>
    </row>
    <row r="980" spans="5:6" ht="13.2" x14ac:dyDescent="0.25">
      <c r="E980" s="13"/>
      <c r="F980" s="16"/>
    </row>
    <row r="981" spans="5:6" ht="13.2" x14ac:dyDescent="0.25">
      <c r="E981" s="13"/>
      <c r="F981" s="16"/>
    </row>
    <row r="982" spans="5:6" ht="13.2" x14ac:dyDescent="0.25">
      <c r="E982" s="13"/>
      <c r="F982" s="16"/>
    </row>
    <row r="983" spans="5:6" ht="13.2" x14ac:dyDescent="0.25">
      <c r="E983" s="13"/>
      <c r="F983" s="16"/>
    </row>
    <row r="984" spans="5:6" ht="13.2" x14ac:dyDescent="0.25">
      <c r="E984" s="13"/>
      <c r="F984" s="16"/>
    </row>
    <row r="985" spans="5:6" ht="13.2" x14ac:dyDescent="0.25">
      <c r="E985" s="13"/>
      <c r="F985" s="16"/>
    </row>
    <row r="986" spans="5:6" ht="13.2" x14ac:dyDescent="0.25">
      <c r="E986" s="13"/>
      <c r="F986" s="16"/>
    </row>
    <row r="987" spans="5:6" ht="13.2" x14ac:dyDescent="0.25">
      <c r="E987" s="13"/>
      <c r="F987" s="16"/>
    </row>
    <row r="988" spans="5:6" ht="13.2" x14ac:dyDescent="0.25">
      <c r="E988" s="13"/>
      <c r="F988" s="16"/>
    </row>
    <row r="989" spans="5:6" ht="13.2" x14ac:dyDescent="0.25">
      <c r="E989" s="13"/>
      <c r="F989" s="16"/>
    </row>
    <row r="990" spans="5:6" ht="13.2" x14ac:dyDescent="0.25">
      <c r="E990" s="13"/>
      <c r="F990" s="16"/>
    </row>
    <row r="991" spans="5:6" ht="13.2" x14ac:dyDescent="0.25">
      <c r="E991" s="13"/>
      <c r="F991" s="16"/>
    </row>
    <row r="992" spans="5:6" ht="13.2" x14ac:dyDescent="0.25">
      <c r="E992" s="13"/>
      <c r="F992" s="16"/>
    </row>
    <row r="993" spans="5:6" ht="13.2" x14ac:dyDescent="0.25">
      <c r="E993" s="13"/>
      <c r="F993" s="16"/>
    </row>
    <row r="994" spans="5:6" ht="13.2" x14ac:dyDescent="0.25">
      <c r="E994" s="13"/>
      <c r="F994" s="16"/>
    </row>
    <row r="995" spans="5:6" ht="13.2" x14ac:dyDescent="0.25">
      <c r="E995" s="13"/>
      <c r="F995" s="16"/>
    </row>
    <row r="996" spans="5:6" ht="13.2" x14ac:dyDescent="0.25">
      <c r="E996" s="13"/>
      <c r="F996" s="16"/>
    </row>
    <row r="997" spans="5:6" ht="13.2" x14ac:dyDescent="0.25">
      <c r="E997" s="13"/>
      <c r="F997" s="16"/>
    </row>
    <row r="998" spans="5:6" ht="13.2" x14ac:dyDescent="0.25">
      <c r="E998" s="13"/>
      <c r="F998" s="16"/>
    </row>
    <row r="999" spans="5:6" ht="13.2" x14ac:dyDescent="0.25">
      <c r="E999" s="13"/>
      <c r="F999" s="16"/>
    </row>
    <row r="1000" spans="5:6" ht="13.2" x14ac:dyDescent="0.25">
      <c r="E1000" s="13"/>
      <c r="F1000" s="16"/>
    </row>
    <row r="1001" spans="5:6" ht="13.2" x14ac:dyDescent="0.25">
      <c r="E1001" s="13"/>
      <c r="F1001" s="16"/>
    </row>
    <row r="1002" spans="5:6" ht="13.2" x14ac:dyDescent="0.25">
      <c r="E1002" s="13"/>
      <c r="F1002" s="16"/>
    </row>
    <row r="1003" spans="5:6" ht="13.2" x14ac:dyDescent="0.25">
      <c r="E1003" s="13"/>
      <c r="F1003" s="16"/>
    </row>
    <row r="1004" spans="5:6" ht="13.2" x14ac:dyDescent="0.25">
      <c r="E1004" s="13"/>
      <c r="F1004" s="16"/>
    </row>
    <row r="1005" spans="5:6" ht="13.2" x14ac:dyDescent="0.25">
      <c r="E1005" s="13"/>
      <c r="F1005" s="16"/>
    </row>
    <row r="1006" spans="5:6" ht="13.2" x14ac:dyDescent="0.25">
      <c r="E1006" s="13"/>
      <c r="F1006" s="16"/>
    </row>
    <row r="1007" spans="5:6" ht="13.2" x14ac:dyDescent="0.25">
      <c r="E1007" s="13"/>
      <c r="F1007" s="16"/>
    </row>
    <row r="1008" spans="5:6" ht="13.2" x14ac:dyDescent="0.25">
      <c r="E1008" s="13"/>
      <c r="F1008" s="16"/>
    </row>
    <row r="1009" spans="5:6" ht="13.2" x14ac:dyDescent="0.25">
      <c r="E1009" s="13"/>
      <c r="F1009" s="16"/>
    </row>
    <row r="1010" spans="5:6" ht="13.2" x14ac:dyDescent="0.25">
      <c r="E1010" s="13"/>
      <c r="F1010" s="16"/>
    </row>
    <row r="1011" spans="5:6" ht="13.2" x14ac:dyDescent="0.25">
      <c r="E1011" s="13"/>
      <c r="F1011" s="16"/>
    </row>
    <row r="1012" spans="5:6" ht="13.2" x14ac:dyDescent="0.25">
      <c r="E1012" s="13"/>
      <c r="F1012" s="16"/>
    </row>
    <row r="1013" spans="5:6" ht="13.2" x14ac:dyDescent="0.25">
      <c r="E1013" s="13"/>
      <c r="F1013" s="16"/>
    </row>
    <row r="1014" spans="5:6" ht="13.2" x14ac:dyDescent="0.25">
      <c r="E1014" s="13"/>
      <c r="F1014" s="16"/>
    </row>
    <row r="1015" spans="5:6" ht="13.2" x14ac:dyDescent="0.25">
      <c r="E1015" s="13"/>
      <c r="F1015" s="16"/>
    </row>
    <row r="1016" spans="5:6" ht="13.2" x14ac:dyDescent="0.25">
      <c r="E1016" s="13"/>
      <c r="F1016" s="16"/>
    </row>
    <row r="1017" spans="5:6" ht="13.2" x14ac:dyDescent="0.25">
      <c r="E1017" s="13"/>
      <c r="F1017" s="16"/>
    </row>
    <row r="1018" spans="5:6" ht="13.2" x14ac:dyDescent="0.25">
      <c r="E1018" s="13"/>
      <c r="F1018" s="16"/>
    </row>
    <row r="1019" spans="5:6" ht="13.2" x14ac:dyDescent="0.25">
      <c r="E1019" s="13"/>
      <c r="F1019" s="16"/>
    </row>
    <row r="1020" spans="5:6" ht="13.2" x14ac:dyDescent="0.25">
      <c r="E1020" s="13"/>
      <c r="F1020" s="16"/>
    </row>
    <row r="1021" spans="5:6" ht="13.2" x14ac:dyDescent="0.25">
      <c r="E1021" s="13"/>
      <c r="F1021" s="16"/>
    </row>
    <row r="1022" spans="5:6" ht="13.2" x14ac:dyDescent="0.25">
      <c r="E1022" s="13"/>
      <c r="F1022" s="16"/>
    </row>
    <row r="1023" spans="5:6" ht="13.2" x14ac:dyDescent="0.25">
      <c r="E1023" s="13"/>
    </row>
    <row r="1024" spans="5:6" ht="13.2" x14ac:dyDescent="0.25">
      <c r="E1024" s="13"/>
    </row>
    <row r="1025" spans="5:5" ht="13.2" x14ac:dyDescent="0.25">
      <c r="E1025" s="13"/>
    </row>
    <row r="1026" spans="5:5" ht="13.2" x14ac:dyDescent="0.25">
      <c r="E1026" s="13"/>
    </row>
    <row r="1027" spans="5:5" ht="13.2" x14ac:dyDescent="0.25">
      <c r="E1027" s="13"/>
    </row>
    <row r="1028" spans="5:5" ht="13.2" x14ac:dyDescent="0.25">
      <c r="E1028" s="13"/>
    </row>
    <row r="1029" spans="5:5" ht="13.2" x14ac:dyDescent="0.25">
      <c r="E1029" s="13"/>
    </row>
    <row r="1030" spans="5:5" ht="13.2" x14ac:dyDescent="0.25">
      <c r="E1030" s="13"/>
    </row>
    <row r="1031" spans="5:5" ht="13.2" x14ac:dyDescent="0.25">
      <c r="E1031" s="13"/>
    </row>
    <row r="1032" spans="5:5" ht="13.2" x14ac:dyDescent="0.25">
      <c r="E1032" s="13"/>
    </row>
    <row r="1033" spans="5:5" ht="13.2" x14ac:dyDescent="0.25">
      <c r="E1033" s="13"/>
    </row>
    <row r="1034" spans="5:5" ht="13.2" x14ac:dyDescent="0.25">
      <c r="E1034" s="13"/>
    </row>
    <row r="1035" spans="5:5" ht="13.2" x14ac:dyDescent="0.25">
      <c r="E1035" s="13"/>
    </row>
    <row r="1036" spans="5:5" ht="13.2" x14ac:dyDescent="0.25">
      <c r="E1036" s="13"/>
    </row>
    <row r="1037" spans="5:5" ht="13.2" x14ac:dyDescent="0.25">
      <c r="E1037" s="13"/>
    </row>
    <row r="1038" spans="5:5" ht="13.2" x14ac:dyDescent="0.25">
      <c r="E1038" s="13"/>
    </row>
    <row r="1039" spans="5:5" ht="13.2" x14ac:dyDescent="0.25">
      <c r="E1039" s="13"/>
    </row>
    <row r="1040" spans="5:5" ht="13.2" x14ac:dyDescent="0.25">
      <c r="E1040" s="13"/>
    </row>
    <row r="1041" spans="5:5" ht="13.2" x14ac:dyDescent="0.25">
      <c r="E1041" s="13"/>
    </row>
    <row r="1042" spans="5:5" ht="13.2" x14ac:dyDescent="0.25">
      <c r="E1042" s="13"/>
    </row>
    <row r="1043" spans="5:5" ht="13.2" x14ac:dyDescent="0.25">
      <c r="E1043" s="13"/>
    </row>
    <row r="1044" spans="5:5" ht="13.2" x14ac:dyDescent="0.25">
      <c r="E1044" s="13"/>
    </row>
    <row r="1045" spans="5:5" ht="13.2" x14ac:dyDescent="0.25">
      <c r="E1045" s="13"/>
    </row>
    <row r="1046" spans="5:5" ht="13.2" x14ac:dyDescent="0.25">
      <c r="E1046" s="13"/>
    </row>
    <row r="1047" spans="5:5" ht="13.2" x14ac:dyDescent="0.25">
      <c r="E1047" s="13"/>
    </row>
    <row r="1048" spans="5:5" ht="13.2" x14ac:dyDescent="0.25">
      <c r="E1048" s="13"/>
    </row>
    <row r="1049" spans="5:5" ht="13.2" x14ac:dyDescent="0.25">
      <c r="E1049" s="13"/>
    </row>
    <row r="1050" spans="5:5" ht="13.2" x14ac:dyDescent="0.25">
      <c r="E1050" s="13"/>
    </row>
    <row r="1051" spans="5:5" ht="13.2" x14ac:dyDescent="0.25">
      <c r="E1051" s="13"/>
    </row>
    <row r="1052" spans="5:5" ht="13.2" x14ac:dyDescent="0.25">
      <c r="E1052" s="13"/>
    </row>
    <row r="1053" spans="5:5" ht="13.2" x14ac:dyDescent="0.25">
      <c r="E1053" s="13"/>
    </row>
    <row r="1054" spans="5:5" ht="13.2" x14ac:dyDescent="0.25">
      <c r="E1054" s="13"/>
    </row>
    <row r="1055" spans="5:5" ht="13.2" x14ac:dyDescent="0.25">
      <c r="E1055" s="13"/>
    </row>
    <row r="1056" spans="5:5" ht="13.2" x14ac:dyDescent="0.25">
      <c r="E1056" s="13"/>
    </row>
    <row r="1057" spans="5:5" ht="13.2" x14ac:dyDescent="0.25">
      <c r="E1057" s="13"/>
    </row>
    <row r="1058" spans="5:5" ht="13.2" x14ac:dyDescent="0.25">
      <c r="E1058" s="13"/>
    </row>
    <row r="1059" spans="5:5" ht="13.2" x14ac:dyDescent="0.25">
      <c r="E1059" s="13"/>
    </row>
    <row r="1060" spans="5:5" ht="13.2" x14ac:dyDescent="0.25">
      <c r="E1060" s="13"/>
    </row>
    <row r="1061" spans="5:5" ht="13.2" x14ac:dyDescent="0.25">
      <c r="E1061" s="13"/>
    </row>
    <row r="1062" spans="5:5" ht="13.2" x14ac:dyDescent="0.25">
      <c r="E1062" s="13"/>
    </row>
    <row r="1063" spans="5:5" ht="13.2" x14ac:dyDescent="0.25">
      <c r="E1063" s="13"/>
    </row>
    <row r="1064" spans="5:5" ht="13.2" x14ac:dyDescent="0.25">
      <c r="E1064" s="13"/>
    </row>
    <row r="1065" spans="5:5" ht="13.2" x14ac:dyDescent="0.25">
      <c r="E1065" s="13"/>
    </row>
    <row r="1066" spans="5:5" ht="13.2" x14ac:dyDescent="0.25">
      <c r="E1066" s="13"/>
    </row>
    <row r="1067" spans="5:5" ht="13.2" x14ac:dyDescent="0.25">
      <c r="E1067" s="13"/>
    </row>
    <row r="1068" spans="5:5" ht="13.2" x14ac:dyDescent="0.25">
      <c r="E1068" s="13"/>
    </row>
    <row r="1069" spans="5:5" ht="13.2" x14ac:dyDescent="0.25">
      <c r="E1069" s="13"/>
    </row>
    <row r="1070" spans="5:5" ht="13.2" x14ac:dyDescent="0.25">
      <c r="E1070" s="13"/>
    </row>
    <row r="1071" spans="5:5" ht="13.2" x14ac:dyDescent="0.25">
      <c r="E1071" s="13"/>
    </row>
    <row r="1072" spans="5:5" ht="13.2" x14ac:dyDescent="0.25">
      <c r="E1072" s="13"/>
    </row>
    <row r="1073" spans="5:5" ht="13.2" x14ac:dyDescent="0.25">
      <c r="E1073" s="13"/>
    </row>
    <row r="1074" spans="5:5" ht="13.2" x14ac:dyDescent="0.25">
      <c r="E1074" s="13"/>
    </row>
    <row r="1075" spans="5:5" ht="13.2" x14ac:dyDescent="0.25">
      <c r="E1075" s="13"/>
    </row>
    <row r="1076" spans="5:5" ht="13.2" x14ac:dyDescent="0.25">
      <c r="E1076" s="13"/>
    </row>
    <row r="1077" spans="5:5" ht="13.2" x14ac:dyDescent="0.25">
      <c r="E1077" s="13"/>
    </row>
    <row r="1078" spans="5:5" ht="13.2" x14ac:dyDescent="0.25">
      <c r="E1078" s="13"/>
    </row>
    <row r="1079" spans="5:5" ht="13.2" x14ac:dyDescent="0.25">
      <c r="E1079" s="13"/>
    </row>
    <row r="1080" spans="5:5" ht="13.2" x14ac:dyDescent="0.25">
      <c r="E1080" s="13"/>
    </row>
    <row r="1081" spans="5:5" ht="13.2" x14ac:dyDescent="0.25">
      <c r="E1081" s="13"/>
    </row>
    <row r="1082" spans="5:5" ht="13.2" x14ac:dyDescent="0.25">
      <c r="E1082" s="13"/>
    </row>
    <row r="1083" spans="5:5" ht="13.2" x14ac:dyDescent="0.25">
      <c r="E1083" s="13"/>
    </row>
    <row r="1084" spans="5:5" ht="13.2" x14ac:dyDescent="0.25">
      <c r="E1084" s="13"/>
    </row>
    <row r="1085" spans="5:5" ht="13.2" x14ac:dyDescent="0.25">
      <c r="E1085" s="13"/>
    </row>
    <row r="1086" spans="5:5" ht="13.2" x14ac:dyDescent="0.25">
      <c r="E1086" s="13"/>
    </row>
    <row r="1087" spans="5:5" ht="13.2" x14ac:dyDescent="0.25">
      <c r="E1087" s="13"/>
    </row>
    <row r="1088" spans="5:5" ht="13.2" x14ac:dyDescent="0.25">
      <c r="E1088" s="13"/>
    </row>
    <row r="1089" spans="5:5" ht="13.2" x14ac:dyDescent="0.25">
      <c r="E1089" s="13"/>
    </row>
    <row r="1090" spans="5:5" ht="13.2" x14ac:dyDescent="0.25">
      <c r="E1090" s="13"/>
    </row>
    <row r="1091" spans="5:5" ht="13.2" x14ac:dyDescent="0.25">
      <c r="E1091" s="13"/>
    </row>
    <row r="1092" spans="5:5" ht="13.2" x14ac:dyDescent="0.25">
      <c r="E1092" s="13"/>
    </row>
    <row r="1093" spans="5:5" ht="13.2" x14ac:dyDescent="0.25">
      <c r="E1093" s="13"/>
    </row>
    <row r="1094" spans="5:5" ht="13.2" x14ac:dyDescent="0.25">
      <c r="E1094" s="13"/>
    </row>
    <row r="1095" spans="5:5" ht="13.2" x14ac:dyDescent="0.25">
      <c r="E1095" s="13"/>
    </row>
    <row r="1096" spans="5:5" ht="13.2" x14ac:dyDescent="0.25">
      <c r="E1096" s="13"/>
    </row>
    <row r="1097" spans="5:5" ht="13.2" x14ac:dyDescent="0.25">
      <c r="E1097" s="13"/>
    </row>
    <row r="1098" spans="5:5" ht="13.2" x14ac:dyDescent="0.25">
      <c r="E1098" s="13"/>
    </row>
    <row r="1099" spans="5:5" ht="13.2" x14ac:dyDescent="0.25">
      <c r="E1099" s="13"/>
    </row>
    <row r="1100" spans="5:5" ht="13.2" x14ac:dyDescent="0.25">
      <c r="E1100" s="13"/>
    </row>
    <row r="1101" spans="5:5" ht="13.2" x14ac:dyDescent="0.25">
      <c r="E1101" s="13"/>
    </row>
    <row r="1102" spans="5:5" ht="13.2" x14ac:dyDescent="0.25">
      <c r="E1102" s="13"/>
    </row>
    <row r="1103" spans="5:5" ht="13.2" x14ac:dyDescent="0.25">
      <c r="E1103" s="13"/>
    </row>
    <row r="1104" spans="5:5" ht="13.2" x14ac:dyDescent="0.25">
      <c r="E1104" s="13"/>
    </row>
    <row r="1105" spans="5:5" ht="13.2" x14ac:dyDescent="0.25">
      <c r="E1105" s="13"/>
    </row>
    <row r="1106" spans="5:5" ht="13.2" x14ac:dyDescent="0.25">
      <c r="E1106" s="13"/>
    </row>
    <row r="1107" spans="5:5" ht="13.2" x14ac:dyDescent="0.25">
      <c r="E1107" s="13"/>
    </row>
    <row r="1108" spans="5:5" ht="13.2" x14ac:dyDescent="0.25">
      <c r="E1108" s="13"/>
    </row>
    <row r="1109" spans="5:5" ht="13.2" x14ac:dyDescent="0.25">
      <c r="E1109" s="13"/>
    </row>
    <row r="1110" spans="5:5" ht="13.2" x14ac:dyDescent="0.25">
      <c r="E1110" s="13"/>
    </row>
    <row r="1111" spans="5:5" ht="13.2" x14ac:dyDescent="0.25">
      <c r="E1111" s="13"/>
    </row>
    <row r="1112" spans="5:5" ht="13.2" x14ac:dyDescent="0.25">
      <c r="E1112" s="13"/>
    </row>
    <row r="1113" spans="5:5" ht="13.2" x14ac:dyDescent="0.25">
      <c r="E1113" s="13"/>
    </row>
    <row r="1114" spans="5:5" ht="13.2" x14ac:dyDescent="0.25">
      <c r="E1114" s="13"/>
    </row>
    <row r="1115" spans="5:5" ht="13.2" x14ac:dyDescent="0.25">
      <c r="E1115" s="13"/>
    </row>
    <row r="1116" spans="5:5" ht="13.2" x14ac:dyDescent="0.25">
      <c r="E1116" s="13"/>
    </row>
    <row r="1117" spans="5:5" ht="13.2" x14ac:dyDescent="0.25">
      <c r="E1117" s="13"/>
    </row>
  </sheetData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E03E6-FB46-48C7-89D5-47FF00851DF8}">
  <dimension ref="B4:J189"/>
  <sheetViews>
    <sheetView topLeftCell="B82" workbookViewId="0">
      <selection activeCell="L14" sqref="L14"/>
    </sheetView>
  </sheetViews>
  <sheetFormatPr defaultRowHeight="13.2" x14ac:dyDescent="0.25"/>
  <cols>
    <col min="2" max="2" width="28.44140625" customWidth="1"/>
    <col min="3" max="3" width="16.33203125" customWidth="1"/>
    <col min="4" max="4" width="10.6640625" customWidth="1"/>
    <col min="5" max="5" width="13.6640625" customWidth="1"/>
    <col min="6" max="6" width="15.6640625" style="73" bestFit="1" customWidth="1"/>
    <col min="7" max="7" width="8.88671875" style="30"/>
  </cols>
  <sheetData>
    <row r="4" spans="2:10" x14ac:dyDescent="0.25">
      <c r="B4" s="80" t="s">
        <v>211</v>
      </c>
      <c r="C4" s="80"/>
      <c r="D4" s="80"/>
      <c r="E4" s="29">
        <v>51</v>
      </c>
    </row>
    <row r="5" spans="2:10" x14ac:dyDescent="0.25">
      <c r="B5" s="70"/>
      <c r="C5" s="70"/>
      <c r="D5" s="31" t="s">
        <v>238</v>
      </c>
      <c r="E5" s="63">
        <f>SUM(D9:D16)</f>
        <v>529726</v>
      </c>
    </row>
    <row r="6" spans="2:10" x14ac:dyDescent="0.25">
      <c r="B6" s="70"/>
      <c r="C6" s="70"/>
      <c r="D6" s="31" t="s">
        <v>239</v>
      </c>
      <c r="E6" s="29">
        <f>E5/1000</f>
        <v>529.726</v>
      </c>
    </row>
    <row r="8" spans="2:10" x14ac:dyDescent="0.25">
      <c r="B8" s="80" t="s">
        <v>212</v>
      </c>
      <c r="C8" s="80"/>
      <c r="D8" s="62" t="s">
        <v>231</v>
      </c>
      <c r="E8" s="62" t="s">
        <v>232</v>
      </c>
      <c r="F8" s="74" t="s">
        <v>229</v>
      </c>
      <c r="G8" s="71" t="s">
        <v>179</v>
      </c>
      <c r="H8" s="18" t="s">
        <v>180</v>
      </c>
      <c r="I8" s="23" t="s">
        <v>181</v>
      </c>
      <c r="J8" s="18" t="s">
        <v>182</v>
      </c>
    </row>
    <row r="9" spans="2:10" x14ac:dyDescent="0.25">
      <c r="B9" s="31" t="s">
        <v>213</v>
      </c>
      <c r="C9" s="29">
        <v>31</v>
      </c>
      <c r="D9" s="63">
        <f>'Metodo 3'!D157</f>
        <v>21936</v>
      </c>
      <c r="E9" s="63">
        <f>'Metodo 3'!E157</f>
        <v>99.709090909090918</v>
      </c>
      <c r="F9" s="75">
        <f>D9*(C9+$E$4)</f>
        <v>1798752</v>
      </c>
      <c r="G9" s="39">
        <v>50</v>
      </c>
      <c r="H9" s="29">
        <v>25</v>
      </c>
      <c r="I9" s="29">
        <v>25</v>
      </c>
      <c r="J9" s="29">
        <v>125</v>
      </c>
    </row>
    <row r="10" spans="2:10" x14ac:dyDescent="0.25">
      <c r="B10" s="31" t="s">
        <v>214</v>
      </c>
      <c r="C10" s="29">
        <v>30</v>
      </c>
      <c r="D10" s="63">
        <f>'Metodo 3'!D171</f>
        <v>28536</v>
      </c>
      <c r="E10" s="63">
        <f>'Metodo 3'!E171</f>
        <v>129.70909090909092</v>
      </c>
      <c r="F10" s="75">
        <f t="shared" ref="F10:F15" si="0">D10*(C10+$E$4)</f>
        <v>2311416</v>
      </c>
      <c r="G10" s="39">
        <v>70</v>
      </c>
      <c r="H10" s="29">
        <v>35</v>
      </c>
      <c r="I10" s="29">
        <v>35</v>
      </c>
      <c r="J10" s="29">
        <v>140</v>
      </c>
    </row>
    <row r="11" spans="2:10" x14ac:dyDescent="0.25">
      <c r="B11" s="31" t="s">
        <v>215</v>
      </c>
      <c r="C11" s="29">
        <v>12</v>
      </c>
      <c r="D11" s="63">
        <f>'Metodo 3'!D95</f>
        <v>97586</v>
      </c>
      <c r="E11" s="63">
        <f>'Metodo 3'!E95</f>
        <v>443.57272727272743</v>
      </c>
      <c r="F11" s="75">
        <f t="shared" si="0"/>
        <v>6147918</v>
      </c>
      <c r="G11" s="39">
        <v>150</v>
      </c>
      <c r="H11" s="29">
        <v>70</v>
      </c>
      <c r="I11" s="29">
        <v>70</v>
      </c>
      <c r="J11" s="29">
        <v>450</v>
      </c>
    </row>
    <row r="12" spans="2:10" x14ac:dyDescent="0.25">
      <c r="B12" s="31" t="s">
        <v>216</v>
      </c>
      <c r="C12" s="29">
        <v>12</v>
      </c>
      <c r="D12" s="63">
        <f>'Metodo 3'!D146</f>
        <v>107900</v>
      </c>
      <c r="E12" s="63">
        <f>'Metodo 3'!E146</f>
        <v>490.45454545454538</v>
      </c>
      <c r="F12" s="75">
        <f t="shared" si="0"/>
        <v>6797700</v>
      </c>
      <c r="G12" s="39">
        <v>185</v>
      </c>
      <c r="H12" s="29">
        <v>95</v>
      </c>
      <c r="I12" s="29">
        <v>95</v>
      </c>
      <c r="J12" s="29">
        <v>500</v>
      </c>
    </row>
    <row r="13" spans="2:10" x14ac:dyDescent="0.25">
      <c r="B13" s="31" t="s">
        <v>217</v>
      </c>
      <c r="C13" s="29">
        <v>15</v>
      </c>
      <c r="D13" s="63">
        <f>'Metodo 3'!D32</f>
        <v>26050</v>
      </c>
      <c r="E13" s="63">
        <f>'Metodo 3'!E32</f>
        <v>118.40909090909092</v>
      </c>
      <c r="F13" s="75">
        <f t="shared" si="0"/>
        <v>1719300</v>
      </c>
      <c r="G13" s="39">
        <v>50</v>
      </c>
      <c r="H13" s="29">
        <v>25</v>
      </c>
      <c r="I13" s="29">
        <v>25</v>
      </c>
      <c r="J13" s="29">
        <v>125</v>
      </c>
    </row>
    <row r="14" spans="2:10" x14ac:dyDescent="0.25">
      <c r="B14" s="31" t="s">
        <v>218</v>
      </c>
      <c r="C14" s="29">
        <v>17</v>
      </c>
      <c r="D14" s="63">
        <f>'Metodo 3'!D66</f>
        <v>155748</v>
      </c>
      <c r="E14" s="63">
        <f>'Metodo 3'!E66</f>
        <v>707.94545454545414</v>
      </c>
      <c r="F14" s="75">
        <f t="shared" si="0"/>
        <v>10590864</v>
      </c>
      <c r="G14" s="39">
        <v>300</v>
      </c>
      <c r="H14" s="29">
        <v>150</v>
      </c>
      <c r="I14" s="29">
        <v>150</v>
      </c>
      <c r="J14" s="29">
        <v>750</v>
      </c>
    </row>
    <row r="15" spans="2:10" x14ac:dyDescent="0.25">
      <c r="B15" s="31" t="s">
        <v>219</v>
      </c>
      <c r="C15" s="29">
        <v>22</v>
      </c>
      <c r="D15" s="63">
        <f>'Metodo 3'!D17</f>
        <v>20970</v>
      </c>
      <c r="E15" s="64">
        <f>'Metodo 3'!E17</f>
        <v>95.318181818181813</v>
      </c>
      <c r="F15" s="75">
        <f t="shared" si="0"/>
        <v>1530810</v>
      </c>
      <c r="G15" s="39">
        <v>50</v>
      </c>
      <c r="H15" s="29">
        <v>25</v>
      </c>
      <c r="I15" s="29">
        <v>25</v>
      </c>
      <c r="J15" s="29">
        <v>100</v>
      </c>
    </row>
    <row r="16" spans="2:10" x14ac:dyDescent="0.25">
      <c r="B16" s="31" t="s">
        <v>220</v>
      </c>
      <c r="C16" s="29">
        <v>21</v>
      </c>
      <c r="D16" s="63">
        <f>'Metodo 3'!D119</f>
        <v>71000</v>
      </c>
      <c r="E16" s="63">
        <f>'Metodo 3'!E119</f>
        <v>322.72727272727275</v>
      </c>
      <c r="F16" s="75">
        <f>D16*(C16+$E$4)</f>
        <v>5112000</v>
      </c>
      <c r="G16" s="39">
        <v>150</v>
      </c>
      <c r="H16" s="29">
        <v>70</v>
      </c>
      <c r="I16" s="29">
        <v>70</v>
      </c>
      <c r="J16" s="29">
        <v>350</v>
      </c>
    </row>
    <row r="17" spans="2:7" x14ac:dyDescent="0.25">
      <c r="B17" s="40"/>
      <c r="D17" s="69"/>
      <c r="E17" s="69"/>
    </row>
    <row r="18" spans="2:7" x14ac:dyDescent="0.25">
      <c r="B18" s="40"/>
      <c r="D18" s="69"/>
      <c r="E18" s="69"/>
    </row>
    <row r="20" spans="2:7" x14ac:dyDescent="0.25">
      <c r="B20" s="80" t="s">
        <v>221</v>
      </c>
      <c r="C20" s="80"/>
      <c r="D20" s="80"/>
      <c r="E20" s="80"/>
      <c r="F20" s="76" t="s">
        <v>229</v>
      </c>
      <c r="G20" s="71" t="s">
        <v>179</v>
      </c>
    </row>
    <row r="21" spans="2:7" x14ac:dyDescent="0.25">
      <c r="B21" s="32" t="s">
        <v>72</v>
      </c>
      <c r="C21" s="32" t="s">
        <v>160</v>
      </c>
      <c r="D21" s="29">
        <v>12</v>
      </c>
      <c r="E21" s="36">
        <v>2200</v>
      </c>
      <c r="F21" s="75">
        <f t="shared" ref="F21:F27" si="1">E21*D21</f>
        <v>26400</v>
      </c>
      <c r="G21" s="39">
        <v>1.5</v>
      </c>
    </row>
    <row r="22" spans="2:7" x14ac:dyDescent="0.25">
      <c r="B22" s="32" t="s">
        <v>72</v>
      </c>
      <c r="C22" s="32" t="s">
        <v>161</v>
      </c>
      <c r="D22" s="29">
        <v>11</v>
      </c>
      <c r="E22" s="36">
        <v>2200</v>
      </c>
      <c r="F22" s="75">
        <f t="shared" si="1"/>
        <v>24200</v>
      </c>
      <c r="G22" s="39">
        <v>1.5</v>
      </c>
    </row>
    <row r="23" spans="2:7" x14ac:dyDescent="0.25">
      <c r="B23" s="32" t="s">
        <v>72</v>
      </c>
      <c r="C23" s="32" t="s">
        <v>162</v>
      </c>
      <c r="D23" s="29">
        <v>10</v>
      </c>
      <c r="E23" s="36">
        <v>2200</v>
      </c>
      <c r="F23" s="75">
        <f t="shared" si="1"/>
        <v>22000</v>
      </c>
      <c r="G23" s="39">
        <v>1.5</v>
      </c>
    </row>
    <row r="24" spans="2:7" x14ac:dyDescent="0.25">
      <c r="B24" s="32" t="s">
        <v>72</v>
      </c>
      <c r="C24" s="32" t="s">
        <v>163</v>
      </c>
      <c r="D24" s="29">
        <v>12</v>
      </c>
      <c r="E24" s="36">
        <v>2200</v>
      </c>
      <c r="F24" s="75">
        <f t="shared" si="1"/>
        <v>26400</v>
      </c>
      <c r="G24" s="39">
        <v>1.5</v>
      </c>
    </row>
    <row r="25" spans="2:7" x14ac:dyDescent="0.25">
      <c r="B25" s="32" t="s">
        <v>72</v>
      </c>
      <c r="C25" s="32" t="s">
        <v>164</v>
      </c>
      <c r="D25" s="29">
        <v>11</v>
      </c>
      <c r="E25" s="36">
        <v>2200</v>
      </c>
      <c r="F25" s="75">
        <f t="shared" si="1"/>
        <v>24200</v>
      </c>
      <c r="G25" s="39">
        <v>1.5</v>
      </c>
    </row>
    <row r="26" spans="2:7" x14ac:dyDescent="0.25">
      <c r="B26" s="32" t="s">
        <v>72</v>
      </c>
      <c r="C26" s="32" t="s">
        <v>165</v>
      </c>
      <c r="D26" s="29">
        <v>10</v>
      </c>
      <c r="E26" s="36">
        <v>2200</v>
      </c>
      <c r="F26" s="75">
        <f t="shared" si="1"/>
        <v>22000</v>
      </c>
      <c r="G26" s="39">
        <v>1.5</v>
      </c>
    </row>
    <row r="27" spans="2:7" x14ac:dyDescent="0.25">
      <c r="B27" s="32" t="s">
        <v>69</v>
      </c>
      <c r="C27" s="32" t="s">
        <v>166</v>
      </c>
      <c r="D27" s="41">
        <v>16</v>
      </c>
      <c r="E27" s="42">
        <v>8736</v>
      </c>
      <c r="F27" s="75">
        <f t="shared" si="1"/>
        <v>139776</v>
      </c>
      <c r="G27" s="39">
        <v>6</v>
      </c>
    </row>
    <row r="28" spans="2:7" x14ac:dyDescent="0.25">
      <c r="B28" s="4"/>
      <c r="C28" s="4"/>
      <c r="D28" s="43" t="s">
        <v>230</v>
      </c>
      <c r="E28" s="43">
        <f>SUM(E21:E27)</f>
        <v>21936</v>
      </c>
      <c r="F28" s="76">
        <f>SUM(F21:F27)</f>
        <v>284976</v>
      </c>
    </row>
    <row r="29" spans="2:7" x14ac:dyDescent="0.25">
      <c r="B29" s="4"/>
      <c r="C29" s="4"/>
      <c r="E29" s="6"/>
    </row>
    <row r="31" spans="2:7" x14ac:dyDescent="0.25">
      <c r="B31" s="81" t="s">
        <v>222</v>
      </c>
      <c r="C31" s="82"/>
      <c r="D31" s="82"/>
      <c r="E31" s="83"/>
      <c r="F31" s="76" t="s">
        <v>229</v>
      </c>
      <c r="G31" s="71" t="s">
        <v>179</v>
      </c>
    </row>
    <row r="32" spans="2:7" x14ac:dyDescent="0.25">
      <c r="B32" s="32" t="s">
        <v>69</v>
      </c>
      <c r="C32" s="32" t="s">
        <v>168</v>
      </c>
      <c r="D32" s="29">
        <v>15</v>
      </c>
      <c r="E32" s="36">
        <v>8736</v>
      </c>
      <c r="F32" s="75">
        <f t="shared" ref="F32:F41" si="2">E32*D32</f>
        <v>131040</v>
      </c>
      <c r="G32" s="39">
        <v>6</v>
      </c>
    </row>
    <row r="33" spans="2:7" x14ac:dyDescent="0.25">
      <c r="B33" s="32" t="s">
        <v>72</v>
      </c>
      <c r="C33" s="32" t="s">
        <v>169</v>
      </c>
      <c r="D33" s="29">
        <v>16</v>
      </c>
      <c r="E33" s="36">
        <v>2200</v>
      </c>
      <c r="F33" s="75">
        <f t="shared" si="2"/>
        <v>35200</v>
      </c>
      <c r="G33" s="39">
        <v>1.5</v>
      </c>
    </row>
    <row r="34" spans="2:7" x14ac:dyDescent="0.25">
      <c r="B34" s="32" t="s">
        <v>72</v>
      </c>
      <c r="C34" s="32" t="s">
        <v>170</v>
      </c>
      <c r="D34" s="29">
        <v>16</v>
      </c>
      <c r="E34" s="36">
        <v>2200</v>
      </c>
      <c r="F34" s="75">
        <f t="shared" si="2"/>
        <v>35200</v>
      </c>
      <c r="G34" s="39">
        <v>1.5</v>
      </c>
    </row>
    <row r="35" spans="2:7" x14ac:dyDescent="0.25">
      <c r="B35" s="32" t="s">
        <v>72</v>
      </c>
      <c r="C35" s="32" t="s">
        <v>171</v>
      </c>
      <c r="D35" s="29">
        <v>15</v>
      </c>
      <c r="E35" s="36">
        <v>2200</v>
      </c>
      <c r="F35" s="75">
        <f t="shared" si="2"/>
        <v>33000</v>
      </c>
      <c r="G35" s="39">
        <v>1.5</v>
      </c>
    </row>
    <row r="36" spans="2:7" x14ac:dyDescent="0.25">
      <c r="B36" s="32" t="s">
        <v>72</v>
      </c>
      <c r="C36" s="32" t="s">
        <v>172</v>
      </c>
      <c r="D36" s="29">
        <v>14</v>
      </c>
      <c r="E36" s="36">
        <v>2200</v>
      </c>
      <c r="F36" s="75">
        <f t="shared" si="2"/>
        <v>30800</v>
      </c>
      <c r="G36" s="39">
        <v>1.5</v>
      </c>
    </row>
    <row r="37" spans="2:7" x14ac:dyDescent="0.25">
      <c r="B37" s="32" t="s">
        <v>72</v>
      </c>
      <c r="C37" s="32" t="s">
        <v>173</v>
      </c>
      <c r="D37" s="29">
        <v>14</v>
      </c>
      <c r="E37" s="36">
        <v>2200</v>
      </c>
      <c r="F37" s="75">
        <f t="shared" si="2"/>
        <v>30800</v>
      </c>
      <c r="G37" s="39">
        <v>1.5</v>
      </c>
    </row>
    <row r="38" spans="2:7" x14ac:dyDescent="0.25">
      <c r="B38" s="32" t="s">
        <v>72</v>
      </c>
      <c r="C38" s="32" t="s">
        <v>174</v>
      </c>
      <c r="D38" s="29">
        <v>13</v>
      </c>
      <c r="E38" s="36">
        <v>2200</v>
      </c>
      <c r="F38" s="75">
        <f t="shared" si="2"/>
        <v>28600</v>
      </c>
      <c r="G38" s="39">
        <v>1.5</v>
      </c>
    </row>
    <row r="39" spans="2:7" x14ac:dyDescent="0.25">
      <c r="B39" s="32" t="s">
        <v>72</v>
      </c>
      <c r="C39" s="32" t="s">
        <v>175</v>
      </c>
      <c r="D39" s="29">
        <v>13</v>
      </c>
      <c r="E39" s="36">
        <v>2200</v>
      </c>
      <c r="F39" s="75">
        <f t="shared" si="2"/>
        <v>28600</v>
      </c>
      <c r="G39" s="39">
        <v>1.5</v>
      </c>
    </row>
    <row r="40" spans="2:7" x14ac:dyDescent="0.25">
      <c r="B40" s="32" t="s">
        <v>72</v>
      </c>
      <c r="C40" s="32" t="s">
        <v>176</v>
      </c>
      <c r="D40" s="29">
        <v>13</v>
      </c>
      <c r="E40" s="36">
        <v>2200</v>
      </c>
      <c r="F40" s="75">
        <f t="shared" si="2"/>
        <v>28600</v>
      </c>
      <c r="G40" s="39">
        <v>1.5</v>
      </c>
    </row>
    <row r="41" spans="2:7" x14ac:dyDescent="0.25">
      <c r="B41" s="32" t="s">
        <v>72</v>
      </c>
      <c r="C41" s="32" t="s">
        <v>177</v>
      </c>
      <c r="D41" s="41">
        <v>13</v>
      </c>
      <c r="E41" s="42">
        <v>2200</v>
      </c>
      <c r="F41" s="75">
        <f t="shared" si="2"/>
        <v>28600</v>
      </c>
      <c r="G41" s="39">
        <v>1.5</v>
      </c>
    </row>
    <row r="42" spans="2:7" x14ac:dyDescent="0.25">
      <c r="B42" s="4"/>
      <c r="C42" s="4"/>
      <c r="D42" s="43" t="s">
        <v>230</v>
      </c>
      <c r="E42" s="43">
        <f>SUM(E32:E41)</f>
        <v>28536</v>
      </c>
      <c r="F42" s="76">
        <f>SUM(F32:F41)</f>
        <v>410440</v>
      </c>
    </row>
    <row r="43" spans="2:7" x14ac:dyDescent="0.25">
      <c r="B43" s="4"/>
      <c r="C43" s="4"/>
      <c r="E43" s="6"/>
    </row>
    <row r="45" spans="2:7" x14ac:dyDescent="0.25">
      <c r="B45" s="80" t="s">
        <v>223</v>
      </c>
      <c r="C45" s="80"/>
      <c r="D45" s="80"/>
      <c r="E45" s="80"/>
      <c r="F45" s="76" t="s">
        <v>229</v>
      </c>
      <c r="G45" s="71" t="s">
        <v>179</v>
      </c>
    </row>
    <row r="46" spans="2:7" x14ac:dyDescent="0.25">
      <c r="B46" s="32" t="s">
        <v>81</v>
      </c>
      <c r="C46" s="32" t="s">
        <v>82</v>
      </c>
      <c r="D46" s="29">
        <v>37</v>
      </c>
      <c r="E46" s="32">
        <v>900</v>
      </c>
      <c r="F46" s="75">
        <f t="shared" ref="F46:F70" si="3">E46*D46</f>
        <v>33300</v>
      </c>
      <c r="G46" s="39">
        <v>1.5</v>
      </c>
    </row>
    <row r="47" spans="2:7" x14ac:dyDescent="0.25">
      <c r="B47" s="32" t="s">
        <v>83</v>
      </c>
      <c r="C47" s="32" t="s">
        <v>84</v>
      </c>
      <c r="D47" s="29">
        <v>27</v>
      </c>
      <c r="E47" s="36">
        <v>10725</v>
      </c>
      <c r="F47" s="75">
        <f t="shared" si="3"/>
        <v>289575</v>
      </c>
      <c r="G47" s="39">
        <v>16</v>
      </c>
    </row>
    <row r="48" spans="2:7" x14ac:dyDescent="0.25">
      <c r="B48" s="32" t="s">
        <v>83</v>
      </c>
      <c r="C48" s="32" t="s">
        <v>85</v>
      </c>
      <c r="D48" s="29">
        <v>29</v>
      </c>
      <c r="E48" s="36">
        <v>10725</v>
      </c>
      <c r="F48" s="75">
        <f t="shared" si="3"/>
        <v>311025</v>
      </c>
      <c r="G48" s="39">
        <v>16</v>
      </c>
    </row>
    <row r="49" spans="2:7" x14ac:dyDescent="0.25">
      <c r="B49" s="32" t="s">
        <v>83</v>
      </c>
      <c r="C49" s="32" t="s">
        <v>86</v>
      </c>
      <c r="D49" s="29">
        <v>32</v>
      </c>
      <c r="E49" s="36">
        <v>10725</v>
      </c>
      <c r="F49" s="75">
        <f t="shared" si="3"/>
        <v>343200</v>
      </c>
      <c r="G49" s="39">
        <v>16</v>
      </c>
    </row>
    <row r="50" spans="2:7" x14ac:dyDescent="0.25">
      <c r="B50" s="32" t="s">
        <v>83</v>
      </c>
      <c r="C50" s="32" t="s">
        <v>87</v>
      </c>
      <c r="D50" s="29">
        <v>19</v>
      </c>
      <c r="E50" s="36">
        <v>10725</v>
      </c>
      <c r="F50" s="75">
        <f t="shared" si="3"/>
        <v>203775</v>
      </c>
      <c r="G50" s="39">
        <v>16</v>
      </c>
    </row>
    <row r="51" spans="2:7" x14ac:dyDescent="0.25">
      <c r="B51" s="32" t="s">
        <v>83</v>
      </c>
      <c r="C51" s="32" t="s">
        <v>88</v>
      </c>
      <c r="D51" s="29">
        <v>24</v>
      </c>
      <c r="E51" s="36">
        <v>10725</v>
      </c>
      <c r="F51" s="75">
        <f t="shared" si="3"/>
        <v>257400</v>
      </c>
      <c r="G51" s="39">
        <v>16</v>
      </c>
    </row>
    <row r="52" spans="2:7" x14ac:dyDescent="0.25">
      <c r="B52" s="32" t="s">
        <v>83</v>
      </c>
      <c r="C52" s="32" t="s">
        <v>89</v>
      </c>
      <c r="D52" s="29">
        <v>37</v>
      </c>
      <c r="E52" s="36">
        <v>10725</v>
      </c>
      <c r="F52" s="75">
        <f t="shared" si="3"/>
        <v>396825</v>
      </c>
      <c r="G52" s="39">
        <v>16</v>
      </c>
    </row>
    <row r="53" spans="2:7" x14ac:dyDescent="0.25">
      <c r="B53" s="32" t="s">
        <v>90</v>
      </c>
      <c r="C53" s="32" t="s">
        <v>91</v>
      </c>
      <c r="D53" s="29">
        <v>28</v>
      </c>
      <c r="E53" s="36">
        <v>1000</v>
      </c>
      <c r="F53" s="75">
        <f t="shared" si="3"/>
        <v>28000</v>
      </c>
      <c r="G53" s="39">
        <v>1.5</v>
      </c>
    </row>
    <row r="54" spans="2:7" x14ac:dyDescent="0.25">
      <c r="B54" s="32" t="s">
        <v>90</v>
      </c>
      <c r="C54" s="32" t="s">
        <v>92</v>
      </c>
      <c r="D54" s="29">
        <v>30</v>
      </c>
      <c r="E54" s="36">
        <v>1000</v>
      </c>
      <c r="F54" s="75">
        <f t="shared" si="3"/>
        <v>30000</v>
      </c>
      <c r="G54" s="39">
        <v>1.5</v>
      </c>
    </row>
    <row r="55" spans="2:7" x14ac:dyDescent="0.25">
      <c r="B55" s="32" t="s">
        <v>90</v>
      </c>
      <c r="C55" s="32" t="s">
        <v>93</v>
      </c>
      <c r="D55" s="29">
        <v>33</v>
      </c>
      <c r="E55" s="36">
        <v>1000</v>
      </c>
      <c r="F55" s="75">
        <f t="shared" si="3"/>
        <v>33000</v>
      </c>
      <c r="G55" s="39">
        <v>1.5</v>
      </c>
    </row>
    <row r="56" spans="2:7" x14ac:dyDescent="0.25">
      <c r="B56" s="32" t="s">
        <v>90</v>
      </c>
      <c r="C56" s="32" t="s">
        <v>94</v>
      </c>
      <c r="D56" s="29">
        <v>38</v>
      </c>
      <c r="E56" s="36">
        <v>1000</v>
      </c>
      <c r="F56" s="75">
        <f t="shared" si="3"/>
        <v>38000</v>
      </c>
      <c r="G56" s="39">
        <v>1.5</v>
      </c>
    </row>
    <row r="57" spans="2:7" x14ac:dyDescent="0.25">
      <c r="B57" s="32" t="s">
        <v>90</v>
      </c>
      <c r="C57" s="32" t="s">
        <v>95</v>
      </c>
      <c r="D57" s="29">
        <v>23</v>
      </c>
      <c r="E57" s="36">
        <v>1000</v>
      </c>
      <c r="F57" s="75">
        <f t="shared" si="3"/>
        <v>23000</v>
      </c>
      <c r="G57" s="39">
        <v>1.5</v>
      </c>
    </row>
    <row r="58" spans="2:7" x14ac:dyDescent="0.25">
      <c r="B58" s="32" t="s">
        <v>90</v>
      </c>
      <c r="C58" s="32" t="s">
        <v>96</v>
      </c>
      <c r="D58" s="29">
        <v>18</v>
      </c>
      <c r="E58" s="36">
        <v>1000</v>
      </c>
      <c r="F58" s="75">
        <f t="shared" si="3"/>
        <v>18000</v>
      </c>
      <c r="G58" s="39">
        <v>1.5</v>
      </c>
    </row>
    <row r="59" spans="2:7" x14ac:dyDescent="0.25">
      <c r="B59" s="32" t="s">
        <v>69</v>
      </c>
      <c r="C59" s="32" t="s">
        <v>97</v>
      </c>
      <c r="D59" s="29">
        <v>38</v>
      </c>
      <c r="E59" s="36">
        <v>2184</v>
      </c>
      <c r="F59" s="75">
        <f t="shared" si="3"/>
        <v>82992</v>
      </c>
      <c r="G59" s="39">
        <v>4</v>
      </c>
    </row>
    <row r="60" spans="2:7" x14ac:dyDescent="0.25">
      <c r="B60" s="32" t="s">
        <v>69</v>
      </c>
      <c r="C60" s="32" t="s">
        <v>98</v>
      </c>
      <c r="D60" s="29">
        <v>33</v>
      </c>
      <c r="E60" s="36">
        <v>2184</v>
      </c>
      <c r="F60" s="75">
        <f t="shared" si="3"/>
        <v>72072</v>
      </c>
      <c r="G60" s="39">
        <v>4</v>
      </c>
    </row>
    <row r="61" spans="2:7" x14ac:dyDescent="0.25">
      <c r="B61" s="32" t="s">
        <v>69</v>
      </c>
      <c r="C61" s="32" t="s">
        <v>99</v>
      </c>
      <c r="D61" s="29">
        <v>30</v>
      </c>
      <c r="E61" s="36">
        <v>2184</v>
      </c>
      <c r="F61" s="75">
        <f t="shared" si="3"/>
        <v>65520</v>
      </c>
      <c r="G61" s="39">
        <v>2.5</v>
      </c>
    </row>
    <row r="62" spans="2:7" x14ac:dyDescent="0.25">
      <c r="B62" s="32" t="s">
        <v>69</v>
      </c>
      <c r="C62" s="32" t="s">
        <v>100</v>
      </c>
      <c r="D62" s="29">
        <v>28</v>
      </c>
      <c r="E62" s="36">
        <v>2184</v>
      </c>
      <c r="F62" s="75">
        <f t="shared" si="3"/>
        <v>61152</v>
      </c>
      <c r="G62" s="39">
        <v>2.5</v>
      </c>
    </row>
    <row r="63" spans="2:7" x14ac:dyDescent="0.25">
      <c r="B63" s="32" t="s">
        <v>72</v>
      </c>
      <c r="C63" s="32" t="s">
        <v>101</v>
      </c>
      <c r="D63" s="29">
        <v>2</v>
      </c>
      <c r="E63" s="36">
        <v>2200</v>
      </c>
      <c r="F63" s="75">
        <f t="shared" si="3"/>
        <v>4400</v>
      </c>
      <c r="G63" s="39">
        <v>1.5</v>
      </c>
    </row>
    <row r="64" spans="2:7" x14ac:dyDescent="0.25">
      <c r="B64" s="32" t="s">
        <v>72</v>
      </c>
      <c r="C64" s="32" t="s">
        <v>102</v>
      </c>
      <c r="D64" s="29">
        <v>3</v>
      </c>
      <c r="E64" s="36">
        <v>2200</v>
      </c>
      <c r="F64" s="75">
        <f t="shared" si="3"/>
        <v>6600</v>
      </c>
      <c r="G64" s="39">
        <v>1.5</v>
      </c>
    </row>
    <row r="65" spans="2:7" x14ac:dyDescent="0.25">
      <c r="B65" s="32" t="s">
        <v>72</v>
      </c>
      <c r="C65" s="32" t="s">
        <v>103</v>
      </c>
      <c r="D65" s="29">
        <v>7</v>
      </c>
      <c r="E65" s="36">
        <v>2200</v>
      </c>
      <c r="F65" s="75">
        <f t="shared" si="3"/>
        <v>15400</v>
      </c>
      <c r="G65" s="39">
        <v>1.5</v>
      </c>
    </row>
    <row r="66" spans="2:7" x14ac:dyDescent="0.25">
      <c r="B66" s="32" t="s">
        <v>72</v>
      </c>
      <c r="C66" s="32" t="s">
        <v>104</v>
      </c>
      <c r="D66" s="29">
        <v>8</v>
      </c>
      <c r="E66" s="36">
        <v>2200</v>
      </c>
      <c r="F66" s="75">
        <f t="shared" si="3"/>
        <v>17600</v>
      </c>
      <c r="G66" s="39">
        <v>1.5</v>
      </c>
    </row>
    <row r="67" spans="2:7" x14ac:dyDescent="0.25">
      <c r="B67" s="32" t="s">
        <v>72</v>
      </c>
      <c r="C67" s="32" t="s">
        <v>105</v>
      </c>
      <c r="D67" s="29">
        <v>10</v>
      </c>
      <c r="E67" s="36">
        <v>2200</v>
      </c>
      <c r="F67" s="75">
        <f t="shared" si="3"/>
        <v>22000</v>
      </c>
      <c r="G67" s="39">
        <v>1.5</v>
      </c>
    </row>
    <row r="68" spans="2:7" x14ac:dyDescent="0.25">
      <c r="B68" s="32" t="s">
        <v>72</v>
      </c>
      <c r="C68" s="32" t="s">
        <v>106</v>
      </c>
      <c r="D68" s="29">
        <v>17</v>
      </c>
      <c r="E68" s="36">
        <v>2200</v>
      </c>
      <c r="F68" s="75">
        <f t="shared" si="3"/>
        <v>37400</v>
      </c>
      <c r="G68" s="39">
        <v>1.5</v>
      </c>
    </row>
    <row r="69" spans="2:7" x14ac:dyDescent="0.25">
      <c r="B69" s="32" t="s">
        <v>72</v>
      </c>
      <c r="C69" s="32" t="s">
        <v>107</v>
      </c>
      <c r="D69" s="29">
        <v>19</v>
      </c>
      <c r="E69" s="36">
        <v>2200</v>
      </c>
      <c r="F69" s="75">
        <f t="shared" si="3"/>
        <v>41800</v>
      </c>
      <c r="G69" s="39">
        <v>1.5</v>
      </c>
    </row>
    <row r="70" spans="2:7" x14ac:dyDescent="0.25">
      <c r="B70" s="32" t="s">
        <v>72</v>
      </c>
      <c r="C70" s="32" t="s">
        <v>108</v>
      </c>
      <c r="D70" s="41">
        <v>20</v>
      </c>
      <c r="E70" s="42">
        <v>2200</v>
      </c>
      <c r="F70" s="75">
        <f t="shared" si="3"/>
        <v>44000</v>
      </c>
      <c r="G70" s="39">
        <v>2.5</v>
      </c>
    </row>
    <row r="71" spans="2:7" x14ac:dyDescent="0.25">
      <c r="D71" s="43" t="s">
        <v>230</v>
      </c>
      <c r="E71" s="43">
        <f>SUM(E46:E70)</f>
        <v>97586</v>
      </c>
      <c r="F71" s="76">
        <f>SUM(F46:F70)</f>
        <v>2476036</v>
      </c>
    </row>
    <row r="72" spans="2:7" x14ac:dyDescent="0.25">
      <c r="F72" s="75"/>
    </row>
    <row r="74" spans="2:7" x14ac:dyDescent="0.25">
      <c r="B74" s="80" t="s">
        <v>224</v>
      </c>
      <c r="C74" s="80"/>
      <c r="D74" s="80"/>
      <c r="E74" s="80"/>
      <c r="F74" s="76" t="s">
        <v>229</v>
      </c>
      <c r="G74" s="71" t="s">
        <v>179</v>
      </c>
    </row>
    <row r="75" spans="2:7" x14ac:dyDescent="0.25">
      <c r="B75" s="32" t="s">
        <v>132</v>
      </c>
      <c r="C75" s="32" t="s">
        <v>133</v>
      </c>
      <c r="D75" s="29">
        <v>30</v>
      </c>
      <c r="E75" s="36">
        <v>72000</v>
      </c>
      <c r="F75" s="75">
        <f t="shared" ref="F75:F97" si="4">E75*D75</f>
        <v>2160000</v>
      </c>
      <c r="G75" s="39">
        <v>95</v>
      </c>
    </row>
    <row r="76" spans="2:7" x14ac:dyDescent="0.25">
      <c r="B76" s="32" t="s">
        <v>64</v>
      </c>
      <c r="C76" s="32" t="s">
        <v>134</v>
      </c>
      <c r="D76" s="29">
        <v>21</v>
      </c>
      <c r="E76" s="38">
        <v>1380</v>
      </c>
      <c r="F76" s="75">
        <f t="shared" si="4"/>
        <v>28980</v>
      </c>
      <c r="G76" s="39">
        <v>1.5</v>
      </c>
    </row>
    <row r="77" spans="2:7" x14ac:dyDescent="0.25">
      <c r="B77" s="32" t="s">
        <v>64</v>
      </c>
      <c r="C77" s="32" t="s">
        <v>135</v>
      </c>
      <c r="D77" s="29">
        <v>18</v>
      </c>
      <c r="E77" s="38">
        <v>920</v>
      </c>
      <c r="F77" s="75">
        <f t="shared" si="4"/>
        <v>16560</v>
      </c>
      <c r="G77" s="39">
        <v>1.5</v>
      </c>
    </row>
    <row r="78" spans="2:7" x14ac:dyDescent="0.25">
      <c r="B78" s="32" t="s">
        <v>81</v>
      </c>
      <c r="C78" s="32" t="s">
        <v>136</v>
      </c>
      <c r="D78" s="29">
        <v>38</v>
      </c>
      <c r="E78" s="32">
        <v>750</v>
      </c>
      <c r="F78" s="75">
        <f t="shared" si="4"/>
        <v>28500</v>
      </c>
      <c r="G78" s="39">
        <v>1.5</v>
      </c>
    </row>
    <row r="79" spans="2:7" x14ac:dyDescent="0.25">
      <c r="B79" s="32" t="s">
        <v>137</v>
      </c>
      <c r="C79" s="32" t="s">
        <v>138</v>
      </c>
      <c r="D79" s="29">
        <v>21</v>
      </c>
      <c r="E79" s="36">
        <v>1000</v>
      </c>
      <c r="F79" s="75">
        <f t="shared" si="4"/>
        <v>21000</v>
      </c>
      <c r="G79" s="39">
        <v>1.5</v>
      </c>
    </row>
    <row r="80" spans="2:7" x14ac:dyDescent="0.25">
      <c r="B80" s="32" t="s">
        <v>137</v>
      </c>
      <c r="C80" s="32" t="s">
        <v>139</v>
      </c>
      <c r="D80" s="29">
        <v>23</v>
      </c>
      <c r="E80" s="36">
        <v>1000</v>
      </c>
      <c r="F80" s="75">
        <f t="shared" si="4"/>
        <v>23000</v>
      </c>
      <c r="G80" s="39">
        <v>1.5</v>
      </c>
    </row>
    <row r="81" spans="2:7" x14ac:dyDescent="0.25">
      <c r="B81" s="32" t="s">
        <v>137</v>
      </c>
      <c r="C81" s="32" t="s">
        <v>140</v>
      </c>
      <c r="D81" s="29">
        <v>25</v>
      </c>
      <c r="E81" s="36">
        <v>1000</v>
      </c>
      <c r="F81" s="75">
        <f t="shared" si="4"/>
        <v>25000</v>
      </c>
      <c r="G81" s="39">
        <v>1.5</v>
      </c>
    </row>
    <row r="82" spans="2:7" x14ac:dyDescent="0.25">
      <c r="B82" s="32" t="s">
        <v>137</v>
      </c>
      <c r="C82" s="32" t="s">
        <v>141</v>
      </c>
      <c r="D82" s="29">
        <v>29</v>
      </c>
      <c r="E82" s="36">
        <v>1000</v>
      </c>
      <c r="F82" s="75">
        <f t="shared" si="4"/>
        <v>29000</v>
      </c>
      <c r="G82" s="39">
        <v>1.5</v>
      </c>
    </row>
    <row r="83" spans="2:7" x14ac:dyDescent="0.25">
      <c r="B83" s="32" t="s">
        <v>137</v>
      </c>
      <c r="C83" s="32" t="s">
        <v>142</v>
      </c>
      <c r="D83" s="29">
        <v>32</v>
      </c>
      <c r="E83" s="36">
        <v>1000</v>
      </c>
      <c r="F83" s="75">
        <f t="shared" si="4"/>
        <v>32000</v>
      </c>
      <c r="G83" s="39">
        <v>1.5</v>
      </c>
    </row>
    <row r="84" spans="2:7" x14ac:dyDescent="0.25">
      <c r="B84" s="32" t="s">
        <v>143</v>
      </c>
      <c r="C84" s="32" t="s">
        <v>144</v>
      </c>
      <c r="D84" s="29">
        <v>21</v>
      </c>
      <c r="E84" s="36">
        <v>2000</v>
      </c>
      <c r="F84" s="75">
        <f t="shared" si="4"/>
        <v>42000</v>
      </c>
      <c r="G84" s="39">
        <v>1.5</v>
      </c>
    </row>
    <row r="85" spans="2:7" x14ac:dyDescent="0.25">
      <c r="B85" s="32" t="s">
        <v>143</v>
      </c>
      <c r="C85" s="32" t="s">
        <v>145</v>
      </c>
      <c r="D85" s="29">
        <v>23</v>
      </c>
      <c r="E85" s="36">
        <v>2000</v>
      </c>
      <c r="F85" s="75">
        <f t="shared" si="4"/>
        <v>46000</v>
      </c>
      <c r="G85" s="39">
        <v>2.5</v>
      </c>
    </row>
    <row r="86" spans="2:7" x14ac:dyDescent="0.25">
      <c r="B86" s="32" t="s">
        <v>143</v>
      </c>
      <c r="C86" s="32" t="s">
        <v>146</v>
      </c>
      <c r="D86" s="29">
        <v>26</v>
      </c>
      <c r="E86" s="36">
        <v>2000</v>
      </c>
      <c r="F86" s="75">
        <f t="shared" si="4"/>
        <v>52000</v>
      </c>
      <c r="G86" s="39">
        <v>2.5</v>
      </c>
    </row>
    <row r="87" spans="2:7" x14ac:dyDescent="0.25">
      <c r="B87" s="32" t="s">
        <v>143</v>
      </c>
      <c r="C87" s="32" t="s">
        <v>147</v>
      </c>
      <c r="D87" s="29">
        <v>30</v>
      </c>
      <c r="E87" s="36">
        <v>2000</v>
      </c>
      <c r="F87" s="75">
        <f t="shared" si="4"/>
        <v>60000</v>
      </c>
      <c r="G87" s="39">
        <v>2.5</v>
      </c>
    </row>
    <row r="88" spans="2:7" x14ac:dyDescent="0.25">
      <c r="B88" s="32" t="s">
        <v>143</v>
      </c>
      <c r="C88" s="32" t="s">
        <v>148</v>
      </c>
      <c r="D88" s="29">
        <v>33</v>
      </c>
      <c r="E88" s="36">
        <v>2000</v>
      </c>
      <c r="F88" s="75">
        <f t="shared" si="4"/>
        <v>66000</v>
      </c>
      <c r="G88" s="39">
        <v>2.5</v>
      </c>
    </row>
    <row r="89" spans="2:7" x14ac:dyDescent="0.25">
      <c r="B89" s="32" t="s">
        <v>149</v>
      </c>
      <c r="C89" s="32" t="s">
        <v>150</v>
      </c>
      <c r="D89" s="29">
        <v>32</v>
      </c>
      <c r="E89" s="32">
        <v>250</v>
      </c>
      <c r="F89" s="75">
        <f t="shared" si="4"/>
        <v>8000</v>
      </c>
      <c r="G89" s="39">
        <v>1.5</v>
      </c>
    </row>
    <row r="90" spans="2:7" x14ac:dyDescent="0.25">
      <c r="B90" s="32" t="s">
        <v>72</v>
      </c>
      <c r="C90" s="32" t="s">
        <v>151</v>
      </c>
      <c r="D90" s="29">
        <v>28</v>
      </c>
      <c r="E90" s="36">
        <v>2200</v>
      </c>
      <c r="F90" s="75">
        <f t="shared" si="4"/>
        <v>61600</v>
      </c>
      <c r="G90" s="39">
        <v>2.5</v>
      </c>
    </row>
    <row r="91" spans="2:7" x14ac:dyDescent="0.25">
      <c r="B91" s="32" t="s">
        <v>72</v>
      </c>
      <c r="C91" s="32" t="s">
        <v>152</v>
      </c>
      <c r="D91" s="29">
        <v>28</v>
      </c>
      <c r="E91" s="36">
        <v>2200</v>
      </c>
      <c r="F91" s="75">
        <f t="shared" si="4"/>
        <v>61600</v>
      </c>
      <c r="G91" s="39">
        <v>2.5</v>
      </c>
    </row>
    <row r="92" spans="2:7" x14ac:dyDescent="0.25">
      <c r="B92" s="32" t="s">
        <v>72</v>
      </c>
      <c r="C92" s="32" t="s">
        <v>153</v>
      </c>
      <c r="D92" s="29">
        <v>28</v>
      </c>
      <c r="E92" s="36">
        <v>2200</v>
      </c>
      <c r="F92" s="75">
        <f t="shared" si="4"/>
        <v>61600</v>
      </c>
      <c r="G92" s="39">
        <v>2.5</v>
      </c>
    </row>
    <row r="93" spans="2:7" x14ac:dyDescent="0.25">
      <c r="B93" s="32" t="s">
        <v>72</v>
      </c>
      <c r="C93" s="32" t="s">
        <v>154</v>
      </c>
      <c r="D93" s="29">
        <v>22</v>
      </c>
      <c r="E93" s="36">
        <v>2200</v>
      </c>
      <c r="F93" s="75">
        <f t="shared" si="4"/>
        <v>48400</v>
      </c>
      <c r="G93" s="39">
        <v>2.5</v>
      </c>
    </row>
    <row r="94" spans="2:7" x14ac:dyDescent="0.25">
      <c r="B94" s="32" t="s">
        <v>72</v>
      </c>
      <c r="C94" s="32" t="s">
        <v>155</v>
      </c>
      <c r="D94" s="29">
        <v>24</v>
      </c>
      <c r="E94" s="36">
        <v>2200</v>
      </c>
      <c r="F94" s="75">
        <f t="shared" si="4"/>
        <v>52800</v>
      </c>
      <c r="G94" s="39">
        <v>2.5</v>
      </c>
    </row>
    <row r="95" spans="2:7" x14ac:dyDescent="0.25">
      <c r="B95" s="32" t="s">
        <v>72</v>
      </c>
      <c r="C95" s="32" t="s">
        <v>156</v>
      </c>
      <c r="D95" s="29">
        <v>26</v>
      </c>
      <c r="E95" s="36">
        <v>2200</v>
      </c>
      <c r="F95" s="75">
        <f t="shared" si="4"/>
        <v>57200</v>
      </c>
      <c r="G95" s="39">
        <v>2.5</v>
      </c>
    </row>
    <row r="96" spans="2:7" x14ac:dyDescent="0.25">
      <c r="B96" s="32" t="s">
        <v>72</v>
      </c>
      <c r="C96" s="32" t="s">
        <v>157</v>
      </c>
      <c r="D96" s="29">
        <v>22</v>
      </c>
      <c r="E96" s="36">
        <v>2200</v>
      </c>
      <c r="F96" s="75">
        <f t="shared" si="4"/>
        <v>48400</v>
      </c>
      <c r="G96" s="39">
        <v>2.5</v>
      </c>
    </row>
    <row r="97" spans="2:7" x14ac:dyDescent="0.25">
      <c r="B97" s="32" t="s">
        <v>72</v>
      </c>
      <c r="C97" s="32" t="s">
        <v>158</v>
      </c>
      <c r="D97" s="41">
        <v>33</v>
      </c>
      <c r="E97" s="42">
        <v>2200</v>
      </c>
      <c r="F97" s="75">
        <f t="shared" si="4"/>
        <v>72600</v>
      </c>
      <c r="G97" s="39">
        <v>4</v>
      </c>
    </row>
    <row r="98" spans="2:7" x14ac:dyDescent="0.25">
      <c r="D98" s="43" t="s">
        <v>230</v>
      </c>
      <c r="E98" s="43">
        <f>SUM(E75:E97)</f>
        <v>107900</v>
      </c>
      <c r="F98" s="76">
        <f>SUM(F75:F97)</f>
        <v>3102240</v>
      </c>
    </row>
    <row r="101" spans="2:7" x14ac:dyDescent="0.25">
      <c r="B101" s="80" t="s">
        <v>225</v>
      </c>
      <c r="C101" s="80"/>
      <c r="D101" s="80"/>
      <c r="E101" s="80"/>
      <c r="F101" s="76" t="s">
        <v>229</v>
      </c>
      <c r="G101" s="71" t="s">
        <v>179</v>
      </c>
    </row>
    <row r="102" spans="2:7" x14ac:dyDescent="0.25">
      <c r="B102" s="32" t="s">
        <v>24</v>
      </c>
      <c r="C102" s="32" t="s">
        <v>25</v>
      </c>
      <c r="D102" s="29">
        <v>13</v>
      </c>
      <c r="E102" s="36">
        <v>3000</v>
      </c>
      <c r="F102" s="75">
        <f t="shared" ref="F102:F112" si="5">E102*D102</f>
        <v>39000</v>
      </c>
      <c r="G102" s="72">
        <v>1.5</v>
      </c>
    </row>
    <row r="103" spans="2:7" x14ac:dyDescent="0.25">
      <c r="B103" s="32" t="s">
        <v>24</v>
      </c>
      <c r="C103" s="32" t="s">
        <v>26</v>
      </c>
      <c r="D103" s="29">
        <v>12</v>
      </c>
      <c r="E103" s="36">
        <v>3000</v>
      </c>
      <c r="F103" s="75">
        <f t="shared" si="5"/>
        <v>36000</v>
      </c>
      <c r="G103" s="72">
        <v>1.5</v>
      </c>
    </row>
    <row r="104" spans="2:7" x14ac:dyDescent="0.25">
      <c r="B104" s="32" t="s">
        <v>24</v>
      </c>
      <c r="C104" s="32" t="s">
        <v>27</v>
      </c>
      <c r="D104" s="29">
        <v>11</v>
      </c>
      <c r="E104" s="36">
        <v>3000</v>
      </c>
      <c r="F104" s="75">
        <f t="shared" si="5"/>
        <v>33000</v>
      </c>
      <c r="G104" s="72">
        <v>1.5</v>
      </c>
    </row>
    <row r="105" spans="2:7" x14ac:dyDescent="0.25">
      <c r="B105" s="32" t="s">
        <v>24</v>
      </c>
      <c r="C105" s="32" t="s">
        <v>28</v>
      </c>
      <c r="D105" s="29">
        <v>10</v>
      </c>
      <c r="E105" s="36">
        <v>3000</v>
      </c>
      <c r="F105" s="75">
        <f t="shared" si="5"/>
        <v>30000</v>
      </c>
      <c r="G105" s="72">
        <v>1.5</v>
      </c>
    </row>
    <row r="106" spans="2:7" x14ac:dyDescent="0.25">
      <c r="B106" s="32" t="s">
        <v>24</v>
      </c>
      <c r="C106" s="32" t="s">
        <v>29</v>
      </c>
      <c r="D106" s="29">
        <v>8</v>
      </c>
      <c r="E106" s="36">
        <v>3000</v>
      </c>
      <c r="F106" s="75">
        <f t="shared" si="5"/>
        <v>24000</v>
      </c>
      <c r="G106" s="72">
        <v>1.5</v>
      </c>
    </row>
    <row r="107" spans="2:7" x14ac:dyDescent="0.25">
      <c r="B107" s="32" t="s">
        <v>30</v>
      </c>
      <c r="C107" s="32" t="s">
        <v>31</v>
      </c>
      <c r="D107" s="31">
        <v>7</v>
      </c>
      <c r="E107" s="36">
        <v>1350</v>
      </c>
      <c r="F107" s="75">
        <f t="shared" si="5"/>
        <v>9450</v>
      </c>
      <c r="G107" s="72">
        <v>1.5</v>
      </c>
    </row>
    <row r="108" spans="2:7" x14ac:dyDescent="0.25">
      <c r="B108" s="32" t="s">
        <v>30</v>
      </c>
      <c r="C108" s="32" t="s">
        <v>32</v>
      </c>
      <c r="D108" s="31">
        <v>5</v>
      </c>
      <c r="E108" s="36">
        <v>900</v>
      </c>
      <c r="F108" s="75">
        <f t="shared" si="5"/>
        <v>4500</v>
      </c>
      <c r="G108" s="72">
        <v>1.5</v>
      </c>
    </row>
    <row r="109" spans="2:7" x14ac:dyDescent="0.25">
      <c r="B109" s="32" t="s">
        <v>17</v>
      </c>
      <c r="C109" s="32" t="s">
        <v>33</v>
      </c>
      <c r="D109" s="31">
        <v>18</v>
      </c>
      <c r="E109" s="36">
        <v>2200</v>
      </c>
      <c r="F109" s="75">
        <f t="shared" si="5"/>
        <v>39600</v>
      </c>
      <c r="G109" s="72">
        <v>1.5</v>
      </c>
    </row>
    <row r="110" spans="2:7" x14ac:dyDescent="0.25">
      <c r="B110" s="32" t="s">
        <v>17</v>
      </c>
      <c r="C110" s="32" t="s">
        <v>34</v>
      </c>
      <c r="D110" s="31">
        <v>18</v>
      </c>
      <c r="E110" s="36">
        <v>2200</v>
      </c>
      <c r="F110" s="75">
        <f t="shared" si="5"/>
        <v>39600</v>
      </c>
      <c r="G110" s="72">
        <v>1.5</v>
      </c>
    </row>
    <row r="111" spans="2:7" x14ac:dyDescent="0.25">
      <c r="B111" s="32" t="s">
        <v>17</v>
      </c>
      <c r="C111" s="32" t="s">
        <v>35</v>
      </c>
      <c r="D111" s="31">
        <v>12</v>
      </c>
      <c r="E111" s="36">
        <v>2200</v>
      </c>
      <c r="F111" s="75">
        <f t="shared" si="5"/>
        <v>26400</v>
      </c>
      <c r="G111" s="72">
        <v>1.5</v>
      </c>
    </row>
    <row r="112" spans="2:7" x14ac:dyDescent="0.25">
      <c r="B112" s="32" t="s">
        <v>17</v>
      </c>
      <c r="C112" s="32" t="s">
        <v>36</v>
      </c>
      <c r="D112" s="44">
        <v>12</v>
      </c>
      <c r="E112" s="42">
        <v>2200</v>
      </c>
      <c r="F112" s="75">
        <f t="shared" si="5"/>
        <v>26400</v>
      </c>
      <c r="G112" s="72">
        <v>1.5</v>
      </c>
    </row>
    <row r="113" spans="2:7" x14ac:dyDescent="0.25">
      <c r="B113" s="4"/>
      <c r="C113" s="4"/>
      <c r="D113" s="43" t="s">
        <v>230</v>
      </c>
      <c r="E113" s="43">
        <f>SUM(E102:E112)</f>
        <v>26050</v>
      </c>
      <c r="F113" s="76">
        <f>SUM(F102:F112)</f>
        <v>307950</v>
      </c>
    </row>
    <row r="114" spans="2:7" x14ac:dyDescent="0.25">
      <c r="B114" s="4"/>
      <c r="C114" s="4"/>
      <c r="D114" s="40"/>
      <c r="E114" s="6"/>
    </row>
    <row r="116" spans="2:7" x14ac:dyDescent="0.25">
      <c r="B116" s="80" t="s">
        <v>226</v>
      </c>
      <c r="C116" s="80"/>
      <c r="D116" s="80"/>
      <c r="E116" s="80"/>
      <c r="F116" s="76" t="s">
        <v>229</v>
      </c>
      <c r="G116" s="71" t="s">
        <v>179</v>
      </c>
    </row>
    <row r="117" spans="2:7" x14ac:dyDescent="0.25">
      <c r="B117" s="32" t="s">
        <v>38</v>
      </c>
      <c r="C117" s="32" t="s">
        <v>39</v>
      </c>
      <c r="D117" s="29">
        <v>12</v>
      </c>
      <c r="E117" s="36">
        <v>1140</v>
      </c>
      <c r="F117" s="75">
        <f t="shared" ref="F117:F146" si="6">E117*D117</f>
        <v>13680</v>
      </c>
      <c r="G117" s="39">
        <v>1.5</v>
      </c>
    </row>
    <row r="118" spans="2:7" x14ac:dyDescent="0.25">
      <c r="B118" s="32" t="s">
        <v>40</v>
      </c>
      <c r="C118" s="32" t="s">
        <v>41</v>
      </c>
      <c r="D118" s="29">
        <v>14</v>
      </c>
      <c r="E118" s="36">
        <v>9000</v>
      </c>
      <c r="F118" s="75">
        <f t="shared" si="6"/>
        <v>126000</v>
      </c>
      <c r="G118" s="39">
        <v>6</v>
      </c>
    </row>
    <row r="119" spans="2:7" x14ac:dyDescent="0.25">
      <c r="B119" s="32" t="s">
        <v>40</v>
      </c>
      <c r="C119" s="32" t="s">
        <v>42</v>
      </c>
      <c r="D119" s="29">
        <v>1</v>
      </c>
      <c r="E119" s="36">
        <v>9000</v>
      </c>
      <c r="F119" s="75">
        <f t="shared" si="6"/>
        <v>9000</v>
      </c>
      <c r="G119" s="39">
        <v>1.5</v>
      </c>
    </row>
    <row r="120" spans="2:7" x14ac:dyDescent="0.25">
      <c r="B120" s="32" t="s">
        <v>40</v>
      </c>
      <c r="C120" s="32" t="s">
        <v>43</v>
      </c>
      <c r="D120" s="29">
        <v>2</v>
      </c>
      <c r="E120" s="36">
        <v>9000</v>
      </c>
      <c r="F120" s="75">
        <f t="shared" si="6"/>
        <v>18000</v>
      </c>
      <c r="G120" s="39">
        <v>1.5</v>
      </c>
    </row>
    <row r="121" spans="2:7" x14ac:dyDescent="0.25">
      <c r="B121" s="32" t="s">
        <v>40</v>
      </c>
      <c r="C121" s="32" t="s">
        <v>44</v>
      </c>
      <c r="D121" s="29">
        <v>6</v>
      </c>
      <c r="E121" s="36">
        <v>9000</v>
      </c>
      <c r="F121" s="75">
        <f t="shared" si="6"/>
        <v>54000</v>
      </c>
      <c r="G121" s="39">
        <v>2.5</v>
      </c>
    </row>
    <row r="122" spans="2:7" x14ac:dyDescent="0.25">
      <c r="B122" s="32" t="s">
        <v>45</v>
      </c>
      <c r="C122" s="32" t="s">
        <v>46</v>
      </c>
      <c r="D122" s="29">
        <v>7</v>
      </c>
      <c r="E122" s="36">
        <v>4000</v>
      </c>
      <c r="F122" s="75">
        <f t="shared" si="6"/>
        <v>28000</v>
      </c>
      <c r="G122" s="39">
        <v>1.5</v>
      </c>
    </row>
    <row r="123" spans="2:7" x14ac:dyDescent="0.25">
      <c r="B123" s="32" t="s">
        <v>45</v>
      </c>
      <c r="C123" s="32" t="s">
        <v>47</v>
      </c>
      <c r="D123" s="29">
        <v>14</v>
      </c>
      <c r="E123" s="36">
        <v>4000</v>
      </c>
      <c r="F123" s="75">
        <f t="shared" si="6"/>
        <v>56000</v>
      </c>
      <c r="G123" s="39">
        <v>2.5</v>
      </c>
    </row>
    <row r="124" spans="2:7" x14ac:dyDescent="0.25">
      <c r="B124" s="32" t="s">
        <v>45</v>
      </c>
      <c r="C124" s="32" t="s">
        <v>48</v>
      </c>
      <c r="D124" s="29">
        <v>14</v>
      </c>
      <c r="E124" s="36">
        <v>4000</v>
      </c>
      <c r="F124" s="75">
        <f t="shared" si="6"/>
        <v>56000</v>
      </c>
      <c r="G124" s="39">
        <v>2.5</v>
      </c>
    </row>
    <row r="125" spans="2:7" x14ac:dyDescent="0.25">
      <c r="B125" s="32" t="s">
        <v>45</v>
      </c>
      <c r="C125" s="32" t="s">
        <v>49</v>
      </c>
      <c r="D125" s="29">
        <v>13</v>
      </c>
      <c r="E125" s="36">
        <v>4000</v>
      </c>
      <c r="F125" s="75">
        <f t="shared" si="6"/>
        <v>52000</v>
      </c>
      <c r="G125" s="39">
        <v>2.5</v>
      </c>
    </row>
    <row r="126" spans="2:7" x14ac:dyDescent="0.25">
      <c r="B126" s="32" t="s">
        <v>50</v>
      </c>
      <c r="C126" s="32" t="s">
        <v>51</v>
      </c>
      <c r="D126" s="29">
        <v>11</v>
      </c>
      <c r="E126" s="36">
        <v>70000</v>
      </c>
      <c r="F126" s="75">
        <f t="shared" si="6"/>
        <v>770000</v>
      </c>
      <c r="G126" s="39">
        <v>35</v>
      </c>
    </row>
    <row r="127" spans="2:7" x14ac:dyDescent="0.25">
      <c r="B127" s="32" t="s">
        <v>52</v>
      </c>
      <c r="C127" s="32" t="s">
        <v>53</v>
      </c>
      <c r="D127" s="29">
        <v>15</v>
      </c>
      <c r="E127" s="36">
        <v>1080</v>
      </c>
      <c r="F127" s="75">
        <f t="shared" si="6"/>
        <v>16200</v>
      </c>
      <c r="G127" s="39">
        <v>1.5</v>
      </c>
    </row>
    <row r="128" spans="2:7" x14ac:dyDescent="0.25">
      <c r="B128" s="32" t="s">
        <v>52</v>
      </c>
      <c r="C128" s="32" t="s">
        <v>54</v>
      </c>
      <c r="D128" s="29">
        <v>12</v>
      </c>
      <c r="E128" s="36">
        <v>720</v>
      </c>
      <c r="F128" s="75">
        <f t="shared" si="6"/>
        <v>8640</v>
      </c>
      <c r="G128" s="39">
        <v>1.5</v>
      </c>
    </row>
    <row r="129" spans="2:7" x14ac:dyDescent="0.25">
      <c r="B129" s="32" t="s">
        <v>55</v>
      </c>
      <c r="C129" s="32" t="s">
        <v>56</v>
      </c>
      <c r="D129" s="29">
        <v>8</v>
      </c>
      <c r="E129" s="32">
        <v>2400</v>
      </c>
      <c r="F129" s="75">
        <f t="shared" si="6"/>
        <v>19200</v>
      </c>
      <c r="G129" s="39">
        <v>1.5</v>
      </c>
    </row>
    <row r="130" spans="2:7" x14ac:dyDescent="0.25">
      <c r="B130" s="32" t="s">
        <v>55</v>
      </c>
      <c r="C130" s="32" t="s">
        <v>57</v>
      </c>
      <c r="D130" s="29">
        <v>10</v>
      </c>
      <c r="E130" s="32">
        <v>1600</v>
      </c>
      <c r="F130" s="75">
        <f t="shared" si="6"/>
        <v>16000</v>
      </c>
      <c r="G130" s="39">
        <v>1.5</v>
      </c>
    </row>
    <row r="131" spans="2:7" x14ac:dyDescent="0.25">
      <c r="B131" s="32" t="s">
        <v>58</v>
      </c>
      <c r="C131" s="32" t="s">
        <v>59</v>
      </c>
      <c r="D131" s="29">
        <v>9</v>
      </c>
      <c r="E131" s="36">
        <v>1000</v>
      </c>
      <c r="F131" s="75">
        <f t="shared" si="6"/>
        <v>9000</v>
      </c>
      <c r="G131" s="39">
        <v>1.5</v>
      </c>
    </row>
    <row r="132" spans="2:7" x14ac:dyDescent="0.25">
      <c r="B132" s="32" t="s">
        <v>60</v>
      </c>
      <c r="C132" s="32" t="s">
        <v>61</v>
      </c>
      <c r="D132" s="29">
        <v>12</v>
      </c>
      <c r="E132" s="36">
        <v>1000</v>
      </c>
      <c r="F132" s="75">
        <f t="shared" si="6"/>
        <v>12000</v>
      </c>
      <c r="G132" s="39">
        <v>1.5</v>
      </c>
    </row>
    <row r="133" spans="2:7" x14ac:dyDescent="0.25">
      <c r="B133" s="32" t="s">
        <v>60</v>
      </c>
      <c r="C133" s="32" t="s">
        <v>62</v>
      </c>
      <c r="D133" s="29">
        <v>13</v>
      </c>
      <c r="E133" s="36">
        <v>1000</v>
      </c>
      <c r="F133" s="75">
        <f t="shared" si="6"/>
        <v>13000</v>
      </c>
      <c r="G133" s="39">
        <v>1.5</v>
      </c>
    </row>
    <row r="134" spans="2:7" x14ac:dyDescent="0.25">
      <c r="B134" s="32" t="s">
        <v>60</v>
      </c>
      <c r="C134" s="32" t="s">
        <v>63</v>
      </c>
      <c r="D134" s="29">
        <v>12</v>
      </c>
      <c r="E134" s="36">
        <v>1000</v>
      </c>
      <c r="F134" s="75">
        <f t="shared" si="6"/>
        <v>12000</v>
      </c>
      <c r="G134" s="39">
        <v>1.5</v>
      </c>
    </row>
    <row r="135" spans="2:7" x14ac:dyDescent="0.25">
      <c r="B135" s="32" t="s">
        <v>64</v>
      </c>
      <c r="C135" s="32" t="s">
        <v>65</v>
      </c>
      <c r="D135" s="29">
        <v>8</v>
      </c>
      <c r="E135" s="36">
        <v>1380</v>
      </c>
      <c r="F135" s="75">
        <f t="shared" si="6"/>
        <v>11040</v>
      </c>
      <c r="G135" s="39">
        <v>1.5</v>
      </c>
    </row>
    <row r="136" spans="2:7" x14ac:dyDescent="0.25">
      <c r="B136" s="32" t="s">
        <v>64</v>
      </c>
      <c r="C136" s="32" t="s">
        <v>66</v>
      </c>
      <c r="D136" s="29">
        <v>6</v>
      </c>
      <c r="E136" s="36">
        <v>920</v>
      </c>
      <c r="F136" s="75">
        <f t="shared" si="6"/>
        <v>5520</v>
      </c>
      <c r="G136" s="39">
        <v>1.5</v>
      </c>
    </row>
    <row r="137" spans="2:7" x14ac:dyDescent="0.25">
      <c r="B137" s="32" t="s">
        <v>67</v>
      </c>
      <c r="C137" s="32" t="s">
        <v>68</v>
      </c>
      <c r="D137" s="29">
        <v>4</v>
      </c>
      <c r="E137" s="32">
        <v>740</v>
      </c>
      <c r="F137" s="75">
        <f t="shared" si="6"/>
        <v>2960</v>
      </c>
      <c r="G137" s="39">
        <v>1.5</v>
      </c>
    </row>
    <row r="138" spans="2:7" x14ac:dyDescent="0.25">
      <c r="B138" s="32" t="s">
        <v>69</v>
      </c>
      <c r="C138" s="32" t="s">
        <v>70</v>
      </c>
      <c r="D138" s="29">
        <v>12</v>
      </c>
      <c r="E138" s="36">
        <v>2184</v>
      </c>
      <c r="F138" s="75">
        <f t="shared" si="6"/>
        <v>26208</v>
      </c>
      <c r="G138" s="39">
        <v>1.5</v>
      </c>
    </row>
    <row r="139" spans="2:7" x14ac:dyDescent="0.25">
      <c r="B139" s="32" t="s">
        <v>69</v>
      </c>
      <c r="C139" s="32" t="s">
        <v>71</v>
      </c>
      <c r="D139" s="29">
        <v>14</v>
      </c>
      <c r="E139" s="36">
        <v>2184</v>
      </c>
      <c r="F139" s="75">
        <f t="shared" si="6"/>
        <v>30576</v>
      </c>
      <c r="G139" s="39">
        <v>1.5</v>
      </c>
    </row>
    <row r="140" spans="2:7" x14ac:dyDescent="0.25">
      <c r="B140" s="32" t="s">
        <v>72</v>
      </c>
      <c r="C140" s="32" t="s">
        <v>73</v>
      </c>
      <c r="D140" s="29">
        <v>8</v>
      </c>
      <c r="E140" s="36">
        <v>2200</v>
      </c>
      <c r="F140" s="75">
        <f t="shared" si="6"/>
        <v>17600</v>
      </c>
      <c r="G140" s="39">
        <v>1.5</v>
      </c>
    </row>
    <row r="141" spans="2:7" x14ac:dyDescent="0.25">
      <c r="B141" s="32" t="s">
        <v>72</v>
      </c>
      <c r="C141" s="32" t="s">
        <v>74</v>
      </c>
      <c r="D141" s="29">
        <v>8</v>
      </c>
      <c r="E141" s="36">
        <v>2200</v>
      </c>
      <c r="F141" s="75">
        <f t="shared" si="6"/>
        <v>17600</v>
      </c>
      <c r="G141" s="39">
        <v>1.5</v>
      </c>
    </row>
    <row r="142" spans="2:7" x14ac:dyDescent="0.25">
      <c r="B142" s="32" t="s">
        <v>72</v>
      </c>
      <c r="C142" s="32" t="s">
        <v>75</v>
      </c>
      <c r="D142" s="29">
        <v>8</v>
      </c>
      <c r="E142" s="36">
        <v>2200</v>
      </c>
      <c r="F142" s="75">
        <f t="shared" si="6"/>
        <v>17600</v>
      </c>
      <c r="G142" s="39">
        <v>1.5</v>
      </c>
    </row>
    <row r="143" spans="2:7" x14ac:dyDescent="0.25">
      <c r="B143" s="32" t="s">
        <v>72</v>
      </c>
      <c r="C143" s="32" t="s">
        <v>76</v>
      </c>
      <c r="D143" s="29">
        <v>8</v>
      </c>
      <c r="E143" s="36">
        <v>2200</v>
      </c>
      <c r="F143" s="75">
        <f t="shared" si="6"/>
        <v>17600</v>
      </c>
      <c r="G143" s="39">
        <v>1.5</v>
      </c>
    </row>
    <row r="144" spans="2:7" x14ac:dyDescent="0.25">
      <c r="B144" s="32" t="s">
        <v>72</v>
      </c>
      <c r="C144" s="32" t="s">
        <v>77</v>
      </c>
      <c r="D144" s="29">
        <v>8</v>
      </c>
      <c r="E144" s="36">
        <v>2200</v>
      </c>
      <c r="F144" s="75">
        <f t="shared" si="6"/>
        <v>17600</v>
      </c>
      <c r="G144" s="39">
        <v>1.5</v>
      </c>
    </row>
    <row r="145" spans="2:7" x14ac:dyDescent="0.25">
      <c r="B145" s="32" t="s">
        <v>72</v>
      </c>
      <c r="C145" s="32" t="s">
        <v>78</v>
      </c>
      <c r="D145" s="29">
        <v>8</v>
      </c>
      <c r="E145" s="36">
        <v>2200</v>
      </c>
      <c r="F145" s="75">
        <f t="shared" si="6"/>
        <v>17600</v>
      </c>
      <c r="G145" s="39">
        <v>1.5</v>
      </c>
    </row>
    <row r="146" spans="2:7" x14ac:dyDescent="0.25">
      <c r="B146" s="32" t="s">
        <v>72</v>
      </c>
      <c r="C146" s="32" t="s">
        <v>79</v>
      </c>
      <c r="D146" s="41">
        <v>8</v>
      </c>
      <c r="E146" s="42">
        <v>2200</v>
      </c>
      <c r="F146" s="75">
        <f t="shared" si="6"/>
        <v>17600</v>
      </c>
      <c r="G146" s="39">
        <v>1.5</v>
      </c>
    </row>
    <row r="147" spans="2:7" x14ac:dyDescent="0.25">
      <c r="B147" s="4"/>
      <c r="C147" s="4"/>
      <c r="D147" s="43" t="s">
        <v>230</v>
      </c>
      <c r="E147" s="43">
        <f>SUM(E117:E146)</f>
        <v>155748</v>
      </c>
      <c r="F147" s="76">
        <f>SUM(F117:F146)</f>
        <v>1488224</v>
      </c>
    </row>
    <row r="148" spans="2:7" x14ac:dyDescent="0.25">
      <c r="B148" s="4"/>
      <c r="C148" s="4"/>
      <c r="E148" s="6"/>
    </row>
    <row r="150" spans="2:7" x14ac:dyDescent="0.25">
      <c r="B150" s="80" t="s">
        <v>227</v>
      </c>
      <c r="C150" s="80"/>
      <c r="D150" s="80"/>
      <c r="E150" s="80"/>
      <c r="F150" s="76" t="s">
        <v>229</v>
      </c>
      <c r="G150" s="71" t="s">
        <v>179</v>
      </c>
    </row>
    <row r="151" spans="2:7" x14ac:dyDescent="0.25">
      <c r="B151" s="32" t="s">
        <v>5</v>
      </c>
      <c r="C151" s="34" t="s">
        <v>6</v>
      </c>
      <c r="D151" s="29">
        <v>18</v>
      </c>
      <c r="E151" s="36">
        <v>700</v>
      </c>
      <c r="F151" s="75">
        <f t="shared" ref="F151:F164" si="7">E151*D151</f>
        <v>12600</v>
      </c>
      <c r="G151" s="39">
        <v>1.5</v>
      </c>
    </row>
    <row r="152" spans="2:7" x14ac:dyDescent="0.25">
      <c r="B152" s="32" t="s">
        <v>5</v>
      </c>
      <c r="C152" s="34" t="s">
        <v>7</v>
      </c>
      <c r="D152" s="29">
        <v>15</v>
      </c>
      <c r="E152" s="36">
        <v>1050</v>
      </c>
      <c r="F152" s="75">
        <f t="shared" si="7"/>
        <v>15750</v>
      </c>
      <c r="G152" s="39">
        <v>1.5</v>
      </c>
    </row>
    <row r="153" spans="2:7" x14ac:dyDescent="0.25">
      <c r="B153" s="32" t="s">
        <v>8</v>
      </c>
      <c r="C153" s="34" t="s">
        <v>9</v>
      </c>
      <c r="D153" s="29">
        <v>24</v>
      </c>
      <c r="E153" s="36">
        <v>1120</v>
      </c>
      <c r="F153" s="75">
        <f t="shared" si="7"/>
        <v>26880</v>
      </c>
      <c r="G153" s="39">
        <v>1.5</v>
      </c>
    </row>
    <row r="154" spans="2:7" x14ac:dyDescent="0.25">
      <c r="B154" s="32" t="s">
        <v>8</v>
      </c>
      <c r="C154" s="34" t="s">
        <v>10</v>
      </c>
      <c r="D154" s="29">
        <v>24</v>
      </c>
      <c r="E154" s="36">
        <v>1120</v>
      </c>
      <c r="F154" s="75">
        <f t="shared" si="7"/>
        <v>26880</v>
      </c>
      <c r="G154" s="39">
        <v>1.5</v>
      </c>
    </row>
    <row r="155" spans="2:7" x14ac:dyDescent="0.25">
      <c r="B155" s="32" t="s">
        <v>8</v>
      </c>
      <c r="C155" s="34" t="s">
        <v>11</v>
      </c>
      <c r="D155" s="29">
        <v>23</v>
      </c>
      <c r="E155" s="36">
        <v>1120</v>
      </c>
      <c r="F155" s="75">
        <f t="shared" si="7"/>
        <v>25760</v>
      </c>
      <c r="G155" s="39">
        <v>1.5</v>
      </c>
    </row>
    <row r="156" spans="2:7" x14ac:dyDescent="0.25">
      <c r="B156" s="32" t="s">
        <v>8</v>
      </c>
      <c r="C156" s="34" t="s">
        <v>12</v>
      </c>
      <c r="D156" s="29">
        <v>23</v>
      </c>
      <c r="E156" s="36">
        <v>1120</v>
      </c>
      <c r="F156" s="75">
        <f t="shared" si="7"/>
        <v>25760</v>
      </c>
      <c r="G156" s="39">
        <v>1.5</v>
      </c>
    </row>
    <row r="157" spans="2:7" x14ac:dyDescent="0.25">
      <c r="B157" s="32" t="s">
        <v>8</v>
      </c>
      <c r="C157" s="34" t="s">
        <v>13</v>
      </c>
      <c r="D157" s="29">
        <v>23</v>
      </c>
      <c r="E157" s="36">
        <v>1120</v>
      </c>
      <c r="F157" s="75">
        <f t="shared" si="7"/>
        <v>25760</v>
      </c>
      <c r="G157" s="39">
        <v>1.5</v>
      </c>
    </row>
    <row r="158" spans="2:7" x14ac:dyDescent="0.25">
      <c r="B158" s="32" t="s">
        <v>8</v>
      </c>
      <c r="C158" s="34" t="s">
        <v>14</v>
      </c>
      <c r="D158" s="29">
        <v>23</v>
      </c>
      <c r="E158" s="36">
        <v>1120</v>
      </c>
      <c r="F158" s="75">
        <f t="shared" si="7"/>
        <v>25760</v>
      </c>
      <c r="G158" s="39">
        <v>1.5</v>
      </c>
    </row>
    <row r="159" spans="2:7" x14ac:dyDescent="0.25">
      <c r="B159" s="32" t="s">
        <v>15</v>
      </c>
      <c r="C159" s="34" t="s">
        <v>16</v>
      </c>
      <c r="D159" s="29">
        <v>11</v>
      </c>
      <c r="E159" s="36">
        <v>1500</v>
      </c>
      <c r="F159" s="75">
        <f t="shared" si="7"/>
        <v>16500</v>
      </c>
      <c r="G159" s="39">
        <v>1.5</v>
      </c>
    </row>
    <row r="160" spans="2:7" x14ac:dyDescent="0.25">
      <c r="B160" s="35" t="s">
        <v>17</v>
      </c>
      <c r="C160" s="34" t="s">
        <v>18</v>
      </c>
      <c r="D160" s="29">
        <v>11</v>
      </c>
      <c r="E160" s="37">
        <v>2200</v>
      </c>
      <c r="F160" s="75">
        <f t="shared" si="7"/>
        <v>24200</v>
      </c>
      <c r="G160" s="39">
        <v>1.5</v>
      </c>
    </row>
    <row r="161" spans="2:7" x14ac:dyDescent="0.25">
      <c r="B161" s="35" t="s">
        <v>17</v>
      </c>
      <c r="C161" s="34" t="s">
        <v>19</v>
      </c>
      <c r="D161" s="29">
        <v>10</v>
      </c>
      <c r="E161" s="37">
        <v>2200</v>
      </c>
      <c r="F161" s="75">
        <f t="shared" si="7"/>
        <v>22000</v>
      </c>
      <c r="G161" s="39">
        <v>1.5</v>
      </c>
    </row>
    <row r="162" spans="2:7" x14ac:dyDescent="0.25">
      <c r="B162" s="35" t="s">
        <v>17</v>
      </c>
      <c r="C162" s="34" t="s">
        <v>20</v>
      </c>
      <c r="D162" s="29">
        <v>9</v>
      </c>
      <c r="E162" s="37">
        <v>2200</v>
      </c>
      <c r="F162" s="75">
        <f t="shared" si="7"/>
        <v>19800</v>
      </c>
      <c r="G162" s="39">
        <v>1.5</v>
      </c>
    </row>
    <row r="163" spans="2:7" x14ac:dyDescent="0.25">
      <c r="B163" s="35" t="s">
        <v>17</v>
      </c>
      <c r="C163" s="34" t="s">
        <v>21</v>
      </c>
      <c r="D163" s="29">
        <v>8</v>
      </c>
      <c r="E163" s="37">
        <v>2200</v>
      </c>
      <c r="F163" s="75">
        <f t="shared" si="7"/>
        <v>17600</v>
      </c>
      <c r="G163" s="39">
        <v>1.5</v>
      </c>
    </row>
    <row r="164" spans="2:7" x14ac:dyDescent="0.25">
      <c r="B164" s="35" t="s">
        <v>17</v>
      </c>
      <c r="C164" s="34" t="s">
        <v>22</v>
      </c>
      <c r="D164" s="44">
        <v>7</v>
      </c>
      <c r="E164" s="45">
        <v>2200</v>
      </c>
      <c r="F164" s="75">
        <f t="shared" si="7"/>
        <v>15400</v>
      </c>
      <c r="G164" s="39">
        <v>1.5</v>
      </c>
    </row>
    <row r="165" spans="2:7" x14ac:dyDescent="0.25">
      <c r="B165" s="8"/>
      <c r="C165" s="5"/>
      <c r="D165" s="43" t="s">
        <v>230</v>
      </c>
      <c r="E165" s="43">
        <f>SUM(E151:E164)</f>
        <v>20970</v>
      </c>
      <c r="F165" s="76">
        <f>SUM(F151:F164)</f>
        <v>300650</v>
      </c>
    </row>
    <row r="166" spans="2:7" x14ac:dyDescent="0.25">
      <c r="B166" s="8"/>
      <c r="C166" s="5"/>
      <c r="D166" s="40"/>
      <c r="E166" s="9"/>
    </row>
    <row r="168" spans="2:7" x14ac:dyDescent="0.25">
      <c r="B168" s="80" t="s">
        <v>228</v>
      </c>
      <c r="C168" s="80"/>
      <c r="D168" s="80"/>
      <c r="E168" s="80"/>
      <c r="F168" s="76" t="s">
        <v>229</v>
      </c>
      <c r="G168" s="71" t="s">
        <v>179</v>
      </c>
    </row>
    <row r="169" spans="2:7" x14ac:dyDescent="0.25">
      <c r="B169" s="32" t="s">
        <v>110</v>
      </c>
      <c r="C169" s="32" t="s">
        <v>111</v>
      </c>
      <c r="D169" s="29">
        <v>13</v>
      </c>
      <c r="E169" s="36">
        <v>4000</v>
      </c>
      <c r="F169" s="75">
        <f t="shared" ref="F169:F188" si="8">E169*D169</f>
        <v>52000</v>
      </c>
      <c r="G169" s="39">
        <v>2.5</v>
      </c>
    </row>
    <row r="170" spans="2:7" x14ac:dyDescent="0.25">
      <c r="B170" s="32" t="s">
        <v>110</v>
      </c>
      <c r="C170" s="32" t="s">
        <v>112</v>
      </c>
      <c r="D170" s="29">
        <v>12</v>
      </c>
      <c r="E170" s="36">
        <v>4000</v>
      </c>
      <c r="F170" s="75">
        <f t="shared" si="8"/>
        <v>48000</v>
      </c>
      <c r="G170" s="39">
        <v>2.5</v>
      </c>
    </row>
    <row r="171" spans="2:7" x14ac:dyDescent="0.25">
      <c r="B171" s="32" t="s">
        <v>110</v>
      </c>
      <c r="C171" s="32" t="s">
        <v>113</v>
      </c>
      <c r="D171" s="29">
        <v>11</v>
      </c>
      <c r="E171" s="36">
        <v>4000</v>
      </c>
      <c r="F171" s="75">
        <f t="shared" si="8"/>
        <v>44000</v>
      </c>
      <c r="G171" s="39">
        <v>2.5</v>
      </c>
    </row>
    <row r="172" spans="2:7" x14ac:dyDescent="0.25">
      <c r="B172" s="32" t="s">
        <v>110</v>
      </c>
      <c r="C172" s="32" t="s">
        <v>114</v>
      </c>
      <c r="D172" s="29">
        <v>11</v>
      </c>
      <c r="E172" s="36">
        <v>4000</v>
      </c>
      <c r="F172" s="75">
        <f t="shared" si="8"/>
        <v>44000</v>
      </c>
      <c r="G172" s="39">
        <v>2.5</v>
      </c>
    </row>
    <row r="173" spans="2:7" x14ac:dyDescent="0.25">
      <c r="B173" s="32" t="s">
        <v>110</v>
      </c>
      <c r="C173" s="32" t="s">
        <v>115</v>
      </c>
      <c r="D173" s="29">
        <v>11</v>
      </c>
      <c r="E173" s="36">
        <v>4000</v>
      </c>
      <c r="F173" s="75">
        <f t="shared" si="8"/>
        <v>44000</v>
      </c>
      <c r="G173" s="39">
        <v>2.5</v>
      </c>
    </row>
    <row r="174" spans="2:7" x14ac:dyDescent="0.25">
      <c r="B174" s="32" t="s">
        <v>110</v>
      </c>
      <c r="C174" s="32" t="s">
        <v>116</v>
      </c>
      <c r="D174" s="29">
        <v>10</v>
      </c>
      <c r="E174" s="36">
        <v>4000</v>
      </c>
      <c r="F174" s="75">
        <f t="shared" si="8"/>
        <v>40000</v>
      </c>
      <c r="G174" s="39">
        <v>1.5</v>
      </c>
    </row>
    <row r="175" spans="2:7" x14ac:dyDescent="0.25">
      <c r="B175" s="32" t="s">
        <v>110</v>
      </c>
      <c r="C175" s="32" t="s">
        <v>117</v>
      </c>
      <c r="D175" s="29">
        <v>10</v>
      </c>
      <c r="E175" s="36">
        <v>4000</v>
      </c>
      <c r="F175" s="75">
        <f t="shared" si="8"/>
        <v>40000</v>
      </c>
      <c r="G175" s="39">
        <v>1.5</v>
      </c>
    </row>
    <row r="176" spans="2:7" x14ac:dyDescent="0.25">
      <c r="B176" s="32" t="s">
        <v>110</v>
      </c>
      <c r="C176" s="32" t="s">
        <v>118</v>
      </c>
      <c r="D176" s="29">
        <v>9</v>
      </c>
      <c r="E176" s="36">
        <v>4000</v>
      </c>
      <c r="F176" s="75">
        <f t="shared" si="8"/>
        <v>36000</v>
      </c>
      <c r="G176" s="39">
        <v>1.5</v>
      </c>
    </row>
    <row r="177" spans="2:7" x14ac:dyDescent="0.25">
      <c r="B177" s="32" t="s">
        <v>110</v>
      </c>
      <c r="C177" s="32" t="s">
        <v>119</v>
      </c>
      <c r="D177" s="29">
        <v>9</v>
      </c>
      <c r="E177" s="36">
        <v>4000</v>
      </c>
      <c r="F177" s="75">
        <f t="shared" si="8"/>
        <v>36000</v>
      </c>
      <c r="G177" s="39">
        <v>1.5</v>
      </c>
    </row>
    <row r="178" spans="2:7" x14ac:dyDescent="0.25">
      <c r="B178" s="32" t="s">
        <v>110</v>
      </c>
      <c r="C178" s="32" t="s">
        <v>120</v>
      </c>
      <c r="D178" s="29">
        <v>8</v>
      </c>
      <c r="E178" s="36">
        <v>4000</v>
      </c>
      <c r="F178" s="75">
        <f t="shared" si="8"/>
        <v>32000</v>
      </c>
      <c r="G178" s="39">
        <v>1.5</v>
      </c>
    </row>
    <row r="179" spans="2:7" x14ac:dyDescent="0.25">
      <c r="B179" s="32" t="s">
        <v>110</v>
      </c>
      <c r="C179" s="32" t="s">
        <v>121</v>
      </c>
      <c r="D179" s="29">
        <v>8</v>
      </c>
      <c r="E179" s="36">
        <v>4000</v>
      </c>
      <c r="F179" s="75">
        <f t="shared" si="8"/>
        <v>32000</v>
      </c>
      <c r="G179" s="39">
        <v>1.5</v>
      </c>
    </row>
    <row r="180" spans="2:7" x14ac:dyDescent="0.25">
      <c r="B180" s="32" t="s">
        <v>110</v>
      </c>
      <c r="C180" s="32" t="s">
        <v>122</v>
      </c>
      <c r="D180" s="29">
        <v>3</v>
      </c>
      <c r="E180" s="36">
        <v>4000</v>
      </c>
      <c r="F180" s="75">
        <f t="shared" si="8"/>
        <v>12000</v>
      </c>
      <c r="G180" s="39">
        <v>1.5</v>
      </c>
    </row>
    <row r="181" spans="2:7" x14ac:dyDescent="0.25">
      <c r="B181" s="32" t="s">
        <v>110</v>
      </c>
      <c r="C181" s="32" t="s">
        <v>123</v>
      </c>
      <c r="D181" s="29">
        <v>3</v>
      </c>
      <c r="E181" s="36">
        <v>4000</v>
      </c>
      <c r="F181" s="75">
        <f t="shared" si="8"/>
        <v>12000</v>
      </c>
      <c r="G181" s="39">
        <v>1.5</v>
      </c>
    </row>
    <row r="182" spans="2:7" x14ac:dyDescent="0.25">
      <c r="B182" s="32" t="s">
        <v>110</v>
      </c>
      <c r="C182" s="32" t="s">
        <v>124</v>
      </c>
      <c r="D182" s="29">
        <v>2</v>
      </c>
      <c r="E182" s="36">
        <v>4000</v>
      </c>
      <c r="F182" s="75">
        <f t="shared" si="8"/>
        <v>8000</v>
      </c>
      <c r="G182" s="39">
        <v>1.5</v>
      </c>
    </row>
    <row r="183" spans="2:7" x14ac:dyDescent="0.25">
      <c r="B183" s="32" t="s">
        <v>110</v>
      </c>
      <c r="C183" s="32" t="s">
        <v>125</v>
      </c>
      <c r="D183" s="29">
        <v>2</v>
      </c>
      <c r="E183" s="36">
        <v>4000</v>
      </c>
      <c r="F183" s="75">
        <f t="shared" si="8"/>
        <v>8000</v>
      </c>
      <c r="G183" s="39">
        <v>1.5</v>
      </c>
    </row>
    <row r="184" spans="2:7" x14ac:dyDescent="0.25">
      <c r="B184" s="32" t="s">
        <v>72</v>
      </c>
      <c r="C184" s="32" t="s">
        <v>126</v>
      </c>
      <c r="D184" s="29">
        <v>2</v>
      </c>
      <c r="E184" s="36">
        <v>2200</v>
      </c>
      <c r="F184" s="75">
        <f t="shared" si="8"/>
        <v>4400</v>
      </c>
      <c r="G184" s="39">
        <v>1.5</v>
      </c>
    </row>
    <row r="185" spans="2:7" x14ac:dyDescent="0.25">
      <c r="B185" s="32" t="s">
        <v>72</v>
      </c>
      <c r="C185" s="32" t="s">
        <v>127</v>
      </c>
      <c r="D185" s="29">
        <v>2</v>
      </c>
      <c r="E185" s="36">
        <v>2200</v>
      </c>
      <c r="F185" s="75">
        <f t="shared" si="8"/>
        <v>4400</v>
      </c>
      <c r="G185" s="39">
        <v>1.5</v>
      </c>
    </row>
    <row r="186" spans="2:7" x14ac:dyDescent="0.25">
      <c r="B186" s="32" t="s">
        <v>72</v>
      </c>
      <c r="C186" s="32" t="s">
        <v>128</v>
      </c>
      <c r="D186" s="29">
        <v>2</v>
      </c>
      <c r="E186" s="36">
        <v>2200</v>
      </c>
      <c r="F186" s="75">
        <f t="shared" si="8"/>
        <v>4400</v>
      </c>
      <c r="G186" s="39">
        <v>1.5</v>
      </c>
    </row>
    <row r="187" spans="2:7" x14ac:dyDescent="0.25">
      <c r="B187" s="32" t="s">
        <v>72</v>
      </c>
      <c r="C187" s="32" t="s">
        <v>129</v>
      </c>
      <c r="D187" s="29">
        <v>2</v>
      </c>
      <c r="E187" s="36">
        <v>2200</v>
      </c>
      <c r="F187" s="75">
        <f t="shared" si="8"/>
        <v>4400</v>
      </c>
      <c r="G187" s="39">
        <v>1.5</v>
      </c>
    </row>
    <row r="188" spans="2:7" x14ac:dyDescent="0.25">
      <c r="B188" s="32" t="s">
        <v>72</v>
      </c>
      <c r="C188" s="32" t="s">
        <v>130</v>
      </c>
      <c r="D188" s="41">
        <v>2</v>
      </c>
      <c r="E188" s="42">
        <v>2200</v>
      </c>
      <c r="F188" s="75">
        <f t="shared" si="8"/>
        <v>4400</v>
      </c>
      <c r="G188" s="39">
        <v>1.5</v>
      </c>
    </row>
    <row r="189" spans="2:7" x14ac:dyDescent="0.25">
      <c r="D189" s="43" t="s">
        <v>230</v>
      </c>
      <c r="E189" s="43">
        <f>SUM(E169:E188)</f>
        <v>71000</v>
      </c>
      <c r="F189" s="76">
        <f>SUM(F169:F188)</f>
        <v>510000</v>
      </c>
    </row>
  </sheetData>
  <mergeCells count="10">
    <mergeCell ref="B20:E20"/>
    <mergeCell ref="B31:E31"/>
    <mergeCell ref="B4:D4"/>
    <mergeCell ref="B8:C8"/>
    <mergeCell ref="B168:E168"/>
    <mergeCell ref="B150:E150"/>
    <mergeCell ref="B116:E116"/>
    <mergeCell ref="B101:E101"/>
    <mergeCell ref="B74:E74"/>
    <mergeCell ref="B45:E45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19"/>
  <sheetViews>
    <sheetView topLeftCell="J1" workbookViewId="0">
      <selection activeCell="Q17" sqref="Q17:R19"/>
    </sheetView>
  </sheetViews>
  <sheetFormatPr defaultColWidth="12.6640625" defaultRowHeight="15" customHeight="1" x14ac:dyDescent="0.25"/>
  <cols>
    <col min="1" max="1" width="22.77734375" customWidth="1"/>
    <col min="3" max="3" width="18.77734375" customWidth="1"/>
    <col min="4" max="4" width="13.6640625" customWidth="1"/>
    <col min="5" max="5" width="16.33203125" customWidth="1"/>
    <col min="6" max="6" width="18" customWidth="1"/>
    <col min="7" max="7" width="25.109375" customWidth="1"/>
    <col min="8" max="8" width="14.6640625" customWidth="1"/>
    <col min="9" max="10" width="32" customWidth="1"/>
    <col min="11" max="12" width="27" customWidth="1"/>
    <col min="13" max="13" width="22.44140625" customWidth="1"/>
    <col min="14" max="14" width="33.21875" customWidth="1"/>
    <col min="16" max="16" width="12.6640625" customWidth="1"/>
    <col min="17" max="17" width="24.6640625" bestFit="1" customWidth="1"/>
    <col min="18" max="18" width="15.88671875" bestFit="1" customWidth="1"/>
    <col min="19" max="19" width="13.6640625" bestFit="1" customWidth="1"/>
  </cols>
  <sheetData>
    <row r="1" spans="1:19" ht="13.2" x14ac:dyDescent="0.25">
      <c r="A1" s="25"/>
      <c r="B1" s="26" t="s">
        <v>185</v>
      </c>
      <c r="C1" s="26" t="s">
        <v>186</v>
      </c>
      <c r="D1" s="26" t="s">
        <v>187</v>
      </c>
      <c r="E1" s="26" t="s">
        <v>188</v>
      </c>
      <c r="F1" s="26" t="s">
        <v>189</v>
      </c>
      <c r="G1" s="26" t="s">
        <v>190</v>
      </c>
      <c r="H1" s="27" t="s">
        <v>191</v>
      </c>
      <c r="I1" s="26" t="s">
        <v>192</v>
      </c>
      <c r="J1" s="26" t="s">
        <v>193</v>
      </c>
      <c r="K1" s="26" t="s">
        <v>194</v>
      </c>
      <c r="L1" s="27" t="s">
        <v>195</v>
      </c>
      <c r="M1" s="27" t="s">
        <v>196</v>
      </c>
      <c r="N1" s="27" t="s">
        <v>197</v>
      </c>
      <c r="O1" s="26" t="s">
        <v>198</v>
      </c>
      <c r="P1" s="26" t="s">
        <v>199</v>
      </c>
      <c r="Q1" s="26" t="s">
        <v>200</v>
      </c>
      <c r="R1" s="26" t="s">
        <v>237</v>
      </c>
      <c r="S1" s="77" t="s">
        <v>240</v>
      </c>
    </row>
    <row r="2" spans="1:19" ht="13.2" x14ac:dyDescent="0.25">
      <c r="A2" s="28" t="s">
        <v>201</v>
      </c>
      <c r="B2" s="17">
        <v>370</v>
      </c>
      <c r="C2" s="17">
        <v>1200</v>
      </c>
      <c r="D2" s="17">
        <f t="shared" ref="D2:D11" si="0">(B2*C2)/0.5</f>
        <v>888000</v>
      </c>
      <c r="E2" s="17">
        <v>6</v>
      </c>
      <c r="F2" s="17">
        <v>1</v>
      </c>
      <c r="G2" s="17">
        <v>2</v>
      </c>
      <c r="H2" s="17">
        <f t="shared" ref="H2:H11" si="1">1.5*(E2-F2-G2)</f>
        <v>4.5</v>
      </c>
      <c r="I2" s="17">
        <v>24.7</v>
      </c>
      <c r="J2" s="13">
        <f t="shared" ref="J2:J11" si="2">I2/H2</f>
        <v>5.4888888888888889</v>
      </c>
      <c r="K2" s="17">
        <v>15</v>
      </c>
      <c r="L2" s="13">
        <f t="shared" ref="L2:L11" si="3">K2/H2</f>
        <v>3.3333333333333335</v>
      </c>
      <c r="M2" s="13">
        <f t="shared" ref="M2:M11" si="4">J2*L2</f>
        <v>18.296296296296298</v>
      </c>
      <c r="N2" s="13">
        <f t="shared" ref="N2:N11" si="5">D2/M2</f>
        <v>48534.412955465581</v>
      </c>
      <c r="O2" s="17">
        <v>12</v>
      </c>
      <c r="P2" s="17" t="s">
        <v>202</v>
      </c>
      <c r="Q2" s="13">
        <f>300*M2</f>
        <v>5488.8888888888896</v>
      </c>
      <c r="R2" s="13">
        <f t="shared" ref="R2:R11" si="6">Q2*O2</f>
        <v>65866.666666666672</v>
      </c>
      <c r="S2" s="78">
        <f>R2/1000</f>
        <v>65.866666666666674</v>
      </c>
    </row>
    <row r="3" spans="1:19" ht="13.2" x14ac:dyDescent="0.25">
      <c r="A3" s="28" t="s">
        <v>203</v>
      </c>
      <c r="B3" s="17">
        <v>225</v>
      </c>
      <c r="C3" s="17">
        <v>0</v>
      </c>
      <c r="D3" s="17">
        <f t="shared" si="0"/>
        <v>0</v>
      </c>
      <c r="E3" s="17">
        <v>6</v>
      </c>
      <c r="F3" s="17">
        <v>1</v>
      </c>
      <c r="G3" s="17">
        <v>2</v>
      </c>
      <c r="H3" s="17">
        <f t="shared" si="1"/>
        <v>4.5</v>
      </c>
      <c r="I3" s="17">
        <v>15</v>
      </c>
      <c r="J3" s="13">
        <f t="shared" si="2"/>
        <v>3.3333333333333335</v>
      </c>
      <c r="K3" s="17">
        <v>15</v>
      </c>
      <c r="L3" s="13">
        <f t="shared" si="3"/>
        <v>3.3333333333333335</v>
      </c>
      <c r="M3" s="13">
        <f t="shared" si="4"/>
        <v>11.111111111111112</v>
      </c>
      <c r="N3" s="13">
        <f t="shared" si="5"/>
        <v>0</v>
      </c>
      <c r="O3" s="17">
        <v>0</v>
      </c>
      <c r="P3" s="17">
        <v>0</v>
      </c>
      <c r="Q3" s="13">
        <f t="shared" ref="Q3:Q4" si="7">P3*M3</f>
        <v>0</v>
      </c>
      <c r="R3" s="13">
        <f t="shared" si="6"/>
        <v>0</v>
      </c>
      <c r="S3" s="78">
        <f t="shared" ref="S3:S11" si="8">R3/1000</f>
        <v>0</v>
      </c>
    </row>
    <row r="4" spans="1:19" ht="13.2" x14ac:dyDescent="0.25">
      <c r="A4" s="28" t="s">
        <v>204</v>
      </c>
      <c r="B4" s="17">
        <v>150</v>
      </c>
      <c r="C4" s="17">
        <v>300</v>
      </c>
      <c r="D4" s="17">
        <f t="shared" si="0"/>
        <v>90000</v>
      </c>
      <c r="E4" s="17">
        <v>6</v>
      </c>
      <c r="F4" s="17">
        <v>1.4</v>
      </c>
      <c r="G4" s="17">
        <v>2.5</v>
      </c>
      <c r="H4" s="17">
        <f t="shared" si="1"/>
        <v>3.1499999999999995</v>
      </c>
      <c r="I4" s="17">
        <v>10</v>
      </c>
      <c r="J4" s="13">
        <f t="shared" si="2"/>
        <v>3.1746031746031753</v>
      </c>
      <c r="K4" s="17">
        <v>15</v>
      </c>
      <c r="L4" s="13">
        <f t="shared" si="3"/>
        <v>4.7619047619047628</v>
      </c>
      <c r="M4" s="13">
        <f t="shared" si="4"/>
        <v>15.117157974300838</v>
      </c>
      <c r="N4" s="13">
        <f t="shared" si="5"/>
        <v>5953.4999999999973</v>
      </c>
      <c r="O4" s="17">
        <v>8</v>
      </c>
      <c r="P4" s="17">
        <v>60</v>
      </c>
      <c r="Q4" s="13">
        <f t="shared" si="7"/>
        <v>907.02947845805033</v>
      </c>
      <c r="R4" s="13">
        <f t="shared" si="6"/>
        <v>7256.2358276644027</v>
      </c>
      <c r="S4" s="78">
        <f t="shared" si="8"/>
        <v>7.256235827664403</v>
      </c>
    </row>
    <row r="5" spans="1:19" ht="13.2" x14ac:dyDescent="0.25">
      <c r="A5" s="28" t="s">
        <v>205</v>
      </c>
      <c r="B5" s="17">
        <v>904</v>
      </c>
      <c r="C5" s="17">
        <v>750</v>
      </c>
      <c r="D5" s="17">
        <f t="shared" si="0"/>
        <v>1356000</v>
      </c>
      <c r="E5" s="17">
        <v>6</v>
      </c>
      <c r="F5" s="17">
        <v>1.4</v>
      </c>
      <c r="G5" s="17">
        <v>0.3</v>
      </c>
      <c r="H5" s="17">
        <f t="shared" si="1"/>
        <v>6.4499999999999993</v>
      </c>
      <c r="I5" s="17">
        <v>30.15</v>
      </c>
      <c r="J5" s="13">
        <f t="shared" si="2"/>
        <v>4.6744186046511631</v>
      </c>
      <c r="K5" s="17">
        <v>30</v>
      </c>
      <c r="L5" s="13">
        <f t="shared" si="3"/>
        <v>4.6511627906976747</v>
      </c>
      <c r="M5" s="13">
        <f t="shared" si="4"/>
        <v>21.741481882098434</v>
      </c>
      <c r="N5" s="13">
        <f t="shared" si="5"/>
        <v>62369.253731343277</v>
      </c>
      <c r="O5" s="17">
        <v>8</v>
      </c>
      <c r="P5" s="17" t="s">
        <v>206</v>
      </c>
      <c r="Q5" s="13">
        <f>400*M5</f>
        <v>8696.5927528393731</v>
      </c>
      <c r="R5" s="13">
        <f t="shared" si="6"/>
        <v>69572.742022714985</v>
      </c>
      <c r="S5" s="78">
        <f t="shared" si="8"/>
        <v>69.572742022714991</v>
      </c>
    </row>
    <row r="6" spans="1:19" ht="13.2" x14ac:dyDescent="0.25">
      <c r="A6" s="28" t="s">
        <v>207</v>
      </c>
      <c r="B6" s="17">
        <v>270</v>
      </c>
      <c r="C6" s="17">
        <v>60</v>
      </c>
      <c r="D6" s="17">
        <f t="shared" si="0"/>
        <v>32400</v>
      </c>
      <c r="E6" s="17">
        <v>6</v>
      </c>
      <c r="F6" s="17">
        <v>1</v>
      </c>
      <c r="G6" s="17">
        <v>0.4</v>
      </c>
      <c r="H6" s="17">
        <f t="shared" si="1"/>
        <v>6.8999999999999995</v>
      </c>
      <c r="I6" s="17">
        <v>18</v>
      </c>
      <c r="J6" s="13">
        <f t="shared" si="2"/>
        <v>2.6086956521739131</v>
      </c>
      <c r="K6" s="17">
        <v>15</v>
      </c>
      <c r="L6" s="13">
        <f t="shared" si="3"/>
        <v>2.1739130434782612</v>
      </c>
      <c r="M6" s="13">
        <f t="shared" si="4"/>
        <v>5.6710775047258988</v>
      </c>
      <c r="N6" s="13">
        <f t="shared" si="5"/>
        <v>5713.1999999999989</v>
      </c>
      <c r="O6" s="17">
        <v>8</v>
      </c>
      <c r="P6" s="17">
        <v>60</v>
      </c>
      <c r="Q6" s="13">
        <f>P6*M6</f>
        <v>340.26465028355392</v>
      </c>
      <c r="R6" s="13">
        <f t="shared" si="6"/>
        <v>2722.1172022684314</v>
      </c>
      <c r="S6" s="78">
        <f t="shared" si="8"/>
        <v>2.7221172022684312</v>
      </c>
    </row>
    <row r="7" spans="1:19" ht="13.2" x14ac:dyDescent="0.25">
      <c r="A7" s="28" t="s">
        <v>208</v>
      </c>
      <c r="B7" s="17">
        <v>1500</v>
      </c>
      <c r="C7" s="17">
        <v>850</v>
      </c>
      <c r="D7" s="17">
        <f t="shared" si="0"/>
        <v>2550000</v>
      </c>
      <c r="E7" s="17">
        <v>6</v>
      </c>
      <c r="F7" s="17">
        <v>1.4</v>
      </c>
      <c r="G7" s="17">
        <v>0.6</v>
      </c>
      <c r="H7" s="17">
        <f t="shared" si="1"/>
        <v>5.9999999999999991</v>
      </c>
      <c r="I7" s="17">
        <v>50</v>
      </c>
      <c r="J7" s="13">
        <f t="shared" si="2"/>
        <v>8.3333333333333339</v>
      </c>
      <c r="K7" s="17">
        <v>30</v>
      </c>
      <c r="L7" s="13">
        <f t="shared" si="3"/>
        <v>5.0000000000000009</v>
      </c>
      <c r="M7" s="13">
        <f t="shared" si="4"/>
        <v>41.666666666666679</v>
      </c>
      <c r="N7" s="13">
        <f t="shared" si="5"/>
        <v>61199.999999999985</v>
      </c>
      <c r="O7" s="17">
        <v>8</v>
      </c>
      <c r="P7" s="17" t="s">
        <v>206</v>
      </c>
      <c r="Q7" s="13">
        <f>400*M7</f>
        <v>16666.666666666672</v>
      </c>
      <c r="R7" s="13">
        <f t="shared" si="6"/>
        <v>133333.33333333337</v>
      </c>
      <c r="S7" s="78">
        <f t="shared" si="8"/>
        <v>133.33333333333337</v>
      </c>
    </row>
    <row r="8" spans="1:19" ht="13.2" x14ac:dyDescent="0.25">
      <c r="A8" s="28" t="s">
        <v>159</v>
      </c>
      <c r="B8" s="17">
        <v>225</v>
      </c>
      <c r="C8" s="17">
        <v>70</v>
      </c>
      <c r="D8" s="17">
        <f t="shared" si="0"/>
        <v>31500</v>
      </c>
      <c r="E8" s="17">
        <v>6</v>
      </c>
      <c r="F8" s="17">
        <v>0.7</v>
      </c>
      <c r="G8" s="17">
        <v>2.5</v>
      </c>
      <c r="H8" s="17">
        <f t="shared" si="1"/>
        <v>4.1999999999999993</v>
      </c>
      <c r="I8" s="17">
        <v>15</v>
      </c>
      <c r="J8" s="13">
        <f t="shared" si="2"/>
        <v>3.5714285714285721</v>
      </c>
      <c r="K8" s="17">
        <v>15</v>
      </c>
      <c r="L8" s="13">
        <f t="shared" si="3"/>
        <v>3.5714285714285721</v>
      </c>
      <c r="M8" s="13">
        <f t="shared" si="4"/>
        <v>12.755102040816331</v>
      </c>
      <c r="N8" s="13">
        <f t="shared" si="5"/>
        <v>2469.599999999999</v>
      </c>
      <c r="O8" s="17">
        <v>8</v>
      </c>
      <c r="P8" s="17">
        <v>30</v>
      </c>
      <c r="Q8" s="13">
        <f t="shared" ref="Q8:Q11" si="9">P8*M8</f>
        <v>382.65306122448993</v>
      </c>
      <c r="R8" s="13">
        <f t="shared" si="6"/>
        <v>3061.2244897959195</v>
      </c>
      <c r="S8" s="78">
        <f t="shared" si="8"/>
        <v>3.0612244897959195</v>
      </c>
    </row>
    <row r="9" spans="1:19" ht="13.2" x14ac:dyDescent="0.25">
      <c r="A9" s="28" t="s">
        <v>167</v>
      </c>
      <c r="B9" s="17">
        <v>225</v>
      </c>
      <c r="C9" s="17">
        <v>70</v>
      </c>
      <c r="D9" s="17">
        <f t="shared" si="0"/>
        <v>31500</v>
      </c>
      <c r="E9" s="17">
        <v>6</v>
      </c>
      <c r="F9" s="17">
        <v>0.7</v>
      </c>
      <c r="G9" s="17">
        <v>2.5</v>
      </c>
      <c r="H9" s="17">
        <f t="shared" si="1"/>
        <v>4.1999999999999993</v>
      </c>
      <c r="I9" s="17">
        <v>15</v>
      </c>
      <c r="J9" s="13">
        <f t="shared" si="2"/>
        <v>3.5714285714285721</v>
      </c>
      <c r="K9" s="17">
        <v>15</v>
      </c>
      <c r="L9" s="13">
        <f t="shared" si="3"/>
        <v>3.5714285714285721</v>
      </c>
      <c r="M9" s="13">
        <f t="shared" si="4"/>
        <v>12.755102040816331</v>
      </c>
      <c r="N9" s="13">
        <f t="shared" si="5"/>
        <v>2469.599999999999</v>
      </c>
      <c r="O9" s="17">
        <v>8</v>
      </c>
      <c r="P9" s="17">
        <v>30</v>
      </c>
      <c r="Q9" s="13">
        <f t="shared" si="9"/>
        <v>382.65306122448993</v>
      </c>
      <c r="R9" s="13">
        <f t="shared" si="6"/>
        <v>3061.2244897959195</v>
      </c>
      <c r="S9" s="78">
        <f t="shared" si="8"/>
        <v>3.0612244897959195</v>
      </c>
    </row>
    <row r="10" spans="1:19" ht="13.2" x14ac:dyDescent="0.25">
      <c r="A10" s="28" t="s">
        <v>209</v>
      </c>
      <c r="B10" s="17">
        <v>452</v>
      </c>
      <c r="C10" s="17">
        <v>80</v>
      </c>
      <c r="D10" s="17">
        <f t="shared" si="0"/>
        <v>72320</v>
      </c>
      <c r="E10" s="17">
        <v>6</v>
      </c>
      <c r="F10" s="17">
        <v>1.6</v>
      </c>
      <c r="G10" s="17">
        <v>2</v>
      </c>
      <c r="H10" s="17">
        <f t="shared" si="1"/>
        <v>3.6000000000000005</v>
      </c>
      <c r="I10" s="17">
        <v>30.15</v>
      </c>
      <c r="J10" s="13">
        <f t="shared" si="2"/>
        <v>8.3749999999999982</v>
      </c>
      <c r="K10" s="17">
        <v>15</v>
      </c>
      <c r="L10" s="13">
        <f t="shared" si="3"/>
        <v>4.1666666666666661</v>
      </c>
      <c r="M10" s="13">
        <f t="shared" si="4"/>
        <v>34.895833333333321</v>
      </c>
      <c r="N10" s="13">
        <f t="shared" si="5"/>
        <v>2072.4537313432843</v>
      </c>
      <c r="O10" s="17">
        <v>8</v>
      </c>
      <c r="P10" s="17">
        <v>30</v>
      </c>
      <c r="Q10" s="13">
        <f t="shared" si="9"/>
        <v>1046.8749999999995</v>
      </c>
      <c r="R10" s="13">
        <f t="shared" si="6"/>
        <v>8374.9999999999964</v>
      </c>
      <c r="S10" s="78">
        <f t="shared" si="8"/>
        <v>8.3749999999999964</v>
      </c>
    </row>
    <row r="11" spans="1:19" ht="13.2" x14ac:dyDescent="0.25">
      <c r="A11" s="28" t="s">
        <v>210</v>
      </c>
      <c r="B11" s="17">
        <v>448</v>
      </c>
      <c r="C11" s="17">
        <v>80</v>
      </c>
      <c r="D11" s="17">
        <f t="shared" si="0"/>
        <v>71680</v>
      </c>
      <c r="E11" s="17">
        <v>6</v>
      </c>
      <c r="F11" s="17">
        <v>1.6</v>
      </c>
      <c r="G11" s="17">
        <v>2</v>
      </c>
      <c r="H11" s="17">
        <f t="shared" si="1"/>
        <v>3.6000000000000005</v>
      </c>
      <c r="I11" s="17">
        <v>31.85</v>
      </c>
      <c r="J11" s="13">
        <f t="shared" si="2"/>
        <v>8.8472222222222214</v>
      </c>
      <c r="K11" s="17">
        <v>15</v>
      </c>
      <c r="L11" s="13">
        <f t="shared" si="3"/>
        <v>4.1666666666666661</v>
      </c>
      <c r="M11" s="13">
        <f t="shared" si="4"/>
        <v>36.863425925925917</v>
      </c>
      <c r="N11" s="13">
        <f t="shared" si="5"/>
        <v>1944.4747252747259</v>
      </c>
      <c r="O11" s="17">
        <v>8</v>
      </c>
      <c r="P11" s="17">
        <v>30</v>
      </c>
      <c r="Q11" s="13">
        <f t="shared" si="9"/>
        <v>1105.9027777777776</v>
      </c>
      <c r="R11" s="13">
        <f t="shared" si="6"/>
        <v>8847.2222222222208</v>
      </c>
      <c r="S11" s="78">
        <f t="shared" si="8"/>
        <v>8.8472222222222214</v>
      </c>
    </row>
    <row r="12" spans="1:19" ht="15" customHeight="1" x14ac:dyDescent="0.25">
      <c r="R12" s="65">
        <f>SUM(R2:R11)</f>
        <v>302095.76625446195</v>
      </c>
      <c r="S12" s="79">
        <f>R12/1000</f>
        <v>302.09576625446198</v>
      </c>
    </row>
    <row r="15" spans="1:19" ht="15" customHeight="1" thickBot="1" x14ac:dyDescent="0.3">
      <c r="Q15" s="40" t="s">
        <v>233</v>
      </c>
      <c r="R15" s="67">
        <v>0.53863000000000005</v>
      </c>
    </row>
    <row r="17" spans="17:18" ht="15" customHeight="1" x14ac:dyDescent="0.25">
      <c r="Q17" s="40" t="s">
        <v>234</v>
      </c>
      <c r="R17" s="66">
        <f>S12*R15</f>
        <v>162.71784257764088</v>
      </c>
    </row>
    <row r="18" spans="17:18" ht="15" customHeight="1" x14ac:dyDescent="0.25">
      <c r="Q18" s="40" t="s">
        <v>235</v>
      </c>
      <c r="R18" s="66">
        <f>R17*8</f>
        <v>1301.742740621127</v>
      </c>
    </row>
    <row r="19" spans="17:18" ht="15" customHeight="1" x14ac:dyDescent="0.25">
      <c r="Q19" s="40" t="s">
        <v>236</v>
      </c>
      <c r="R19" s="68">
        <f>((S2*4)*R15) +R18</f>
        <v>1443.6537912877939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"/>
  <sheetViews>
    <sheetView workbookViewId="0"/>
  </sheetViews>
  <sheetFormatPr defaultColWidth="12.6640625" defaultRowHeight="15" customHeight="1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Circuitos</vt:lpstr>
      <vt:lpstr>Metodo 1</vt:lpstr>
      <vt:lpstr>Metodo 2</vt:lpstr>
      <vt:lpstr>Metodo 3</vt:lpstr>
      <vt:lpstr>distancias</vt:lpstr>
      <vt:lpstr>Iluminotecnica</vt:lpstr>
      <vt:lpstr>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2023-06-04T21:15:27Z</dcterms:modified>
</cp:coreProperties>
</file>