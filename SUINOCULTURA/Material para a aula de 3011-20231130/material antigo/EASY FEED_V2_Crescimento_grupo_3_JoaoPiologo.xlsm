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EstaPasta_de_trabalho" defaultThemeVersion="124226"/>
  <mc:AlternateContent xmlns:mc="http://schemas.openxmlformats.org/markup-compatibility/2006">
    <mc:Choice Requires="x15">
      <x15ac:absPath xmlns:x15ac="http://schemas.microsoft.com/office/spreadsheetml/2010/11/ac" url="C:\Users\Note_010\Desktop\Suinocultura\"/>
    </mc:Choice>
  </mc:AlternateContent>
  <xr:revisionPtr revIDLastSave="0" documentId="13_ncr:1_{67F9B0E6-49CA-4DDF-ACFA-B410B5C0683D}" xr6:coauthVersionLast="47" xr6:coauthVersionMax="47" xr10:uidLastSave="{00000000-0000-0000-0000-000000000000}"/>
  <bookViews>
    <workbookView xWindow="-108" yWindow="-108" windowWidth="23256" windowHeight="12456"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24" i="2" l="1"/>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29" i="2"/>
  <c r="S489" i="2"/>
  <c r="S45" i="2"/>
  <c r="S44" i="2"/>
  <c r="S43" i="2"/>
  <c r="S42" i="2"/>
  <c r="S41" i="2"/>
  <c r="S40" i="2"/>
  <c r="S38" i="2"/>
  <c r="S39" i="2"/>
  <c r="S37" i="2"/>
  <c r="S36" i="2"/>
  <c r="S428" i="2"/>
  <c r="S450" i="2"/>
  <c r="S429" i="2"/>
  <c r="S439" i="2"/>
  <c r="S448" i="2"/>
  <c r="S449" i="2"/>
  <c r="S438" i="2"/>
  <c r="S436" i="2"/>
  <c r="S435" i="2"/>
  <c r="S442" i="2"/>
  <c r="S430" i="2"/>
  <c r="S443" i="2"/>
  <c r="S433" i="2"/>
  <c r="S447" i="2"/>
  <c r="S432" i="2"/>
  <c r="S445" i="2"/>
  <c r="S434" i="2"/>
  <c r="S426" i="2"/>
  <c r="S437" i="2"/>
  <c r="S440" i="2"/>
  <c r="S427" i="2"/>
  <c r="S444" i="2"/>
  <c r="S441" i="2"/>
  <c r="S35" i="2"/>
  <c r="S34" i="2"/>
  <c r="S33" i="2"/>
  <c r="S32" i="2"/>
  <c r="S31" i="2"/>
  <c r="S30" i="2"/>
  <c r="S28" i="2"/>
  <c r="S27" i="2"/>
  <c r="S446" i="2"/>
  <c r="S26" i="2"/>
  <c r="S25" i="2"/>
  <c r="S24" i="2"/>
  <c r="S23" i="2"/>
  <c r="S22" i="2"/>
  <c r="S21" i="2"/>
  <c r="S19" i="2"/>
  <c r="S20" i="2"/>
  <c r="S18" i="2"/>
  <c r="S17" i="2"/>
  <c r="S16" i="2"/>
  <c r="S15" i="2"/>
  <c r="S14" i="2"/>
  <c r="S13" i="2"/>
  <c r="S425" i="2"/>
  <c r="S12" i="2"/>
  <c r="S11" i="2"/>
  <c r="S431" i="2"/>
  <c r="S10" i="2"/>
  <c r="S9" i="2"/>
  <c r="S8" i="2"/>
  <c r="S7"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O30" i="12" s="1"/>
  <c r="AN28" i="12"/>
  <c r="AN26" i="12"/>
  <c r="AN24" i="12"/>
  <c r="AN22" i="12"/>
  <c r="AN20" i="12"/>
  <c r="AN18" i="12"/>
  <c r="AN16" i="12"/>
  <c r="AN14" i="12"/>
  <c r="AN12" i="12"/>
  <c r="AO12" i="12" s="1"/>
  <c r="AN10" i="12"/>
  <c r="AO10" i="12" s="1"/>
  <c r="AN8" i="12"/>
  <c r="AN6" i="12"/>
  <c r="AN23" i="12"/>
  <c r="AN45" i="12"/>
  <c r="AO45" i="12" s="1"/>
  <c r="AN41" i="12"/>
  <c r="AO41" i="12" s="1"/>
  <c r="AN37" i="12"/>
  <c r="AO37" i="12" s="1"/>
  <c r="AN33" i="12"/>
  <c r="AO33" i="12" s="1"/>
  <c r="AN29" i="12"/>
  <c r="AN25" i="12"/>
  <c r="AN21" i="12"/>
  <c r="AN17" i="12"/>
  <c r="AN13" i="12"/>
  <c r="AN9" i="12"/>
  <c r="AO9" i="12" s="1"/>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AZ9" i="12"/>
  <c r="AZ7" i="12"/>
  <c r="AZ44" i="12"/>
  <c r="AZ42" i="12"/>
  <c r="AZ40" i="12"/>
  <c r="AZ38" i="12"/>
  <c r="AZ36" i="12"/>
  <c r="AZ34" i="12"/>
  <c r="AZ32" i="12"/>
  <c r="AZ30" i="12"/>
  <c r="AZ28" i="12"/>
  <c r="AZ26" i="12"/>
  <c r="AZ24" i="12"/>
  <c r="AZ22" i="12"/>
  <c r="AZ20" i="12"/>
  <c r="AZ18" i="12"/>
  <c r="AZ16" i="12"/>
  <c r="AZ14" i="12"/>
  <c r="AZ12" i="12"/>
  <c r="AZ10" i="12"/>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R25" i="12" s="1"/>
  <c r="AQ23" i="12"/>
  <c r="AQ21" i="12"/>
  <c r="AQ19" i="12"/>
  <c r="AQ17" i="12"/>
  <c r="AQ15" i="12"/>
  <c r="AQ42" i="12"/>
  <c r="AR42" i="12" s="1"/>
  <c r="AQ38" i="12"/>
  <c r="AR38" i="12" s="1"/>
  <c r="AQ34" i="12"/>
  <c r="AQ30" i="12"/>
  <c r="AR30" i="12" s="1"/>
  <c r="AQ26" i="12"/>
  <c r="AQ22" i="12"/>
  <c r="AQ18" i="12"/>
  <c r="AQ14" i="12"/>
  <c r="AQ12" i="12"/>
  <c r="AQ10" i="12"/>
  <c r="AR10" i="12" s="1"/>
  <c r="AQ8" i="12"/>
  <c r="AQ6" i="12"/>
  <c r="AQ44" i="12"/>
  <c r="AR44" i="12" s="1"/>
  <c r="AQ36" i="12"/>
  <c r="AQ28" i="12"/>
  <c r="AQ20" i="12"/>
  <c r="AQ13" i="12"/>
  <c r="AQ9" i="12"/>
  <c r="AR9" i="12" s="1"/>
  <c r="AQ40" i="12"/>
  <c r="AR40" i="12" s="1"/>
  <c r="AQ32" i="12"/>
  <c r="AR32" i="12" s="1"/>
  <c r="AQ24" i="12"/>
  <c r="AR24" i="12" s="1"/>
  <c r="AQ16" i="12"/>
  <c r="AQ11" i="12"/>
  <c r="AR11" i="12" s="1"/>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C7" i="12"/>
  <c r="BC44" i="12"/>
  <c r="BC42" i="12"/>
  <c r="BC40" i="12"/>
  <c r="BC38" i="12"/>
  <c r="BC36" i="12"/>
  <c r="BC34" i="12"/>
  <c r="BC32" i="12"/>
  <c r="BC30" i="12"/>
  <c r="BC28" i="12"/>
  <c r="BC26" i="12"/>
  <c r="BC24" i="12"/>
  <c r="BC22" i="12"/>
  <c r="BC20" i="12"/>
  <c r="BC18" i="12"/>
  <c r="BC16" i="12"/>
  <c r="BC14" i="12"/>
  <c r="BC12" i="12"/>
  <c r="BC10" i="12"/>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J7" i="12" s="1"/>
  <c r="BI44" i="12"/>
  <c r="BJ44" i="12" s="1"/>
  <c r="BI42" i="12"/>
  <c r="BJ42" i="12" s="1"/>
  <c r="BI40" i="12"/>
  <c r="BJ40" i="12" s="1"/>
  <c r="BI38" i="12"/>
  <c r="BJ38" i="12" s="1"/>
  <c r="BI36" i="12"/>
  <c r="BJ36" i="12" s="1"/>
  <c r="BI34" i="12"/>
  <c r="BI32" i="12"/>
  <c r="BJ32" i="12" s="1"/>
  <c r="BI30" i="12"/>
  <c r="BJ30" i="12" s="1"/>
  <c r="BI28" i="12"/>
  <c r="BJ28" i="12" s="1"/>
  <c r="BI26" i="12"/>
  <c r="BJ26" i="12" s="1"/>
  <c r="BI24" i="12"/>
  <c r="BJ24" i="12" s="1"/>
  <c r="BI22" i="12"/>
  <c r="BJ22" i="12" s="1"/>
  <c r="BI20" i="12"/>
  <c r="BJ20" i="12" s="1"/>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9" i="12"/>
  <c r="AL40" i="12"/>
  <c r="AL35" i="12"/>
  <c r="AL11" i="12"/>
  <c r="AL14" i="12"/>
  <c r="AL30" i="12"/>
  <c r="D11" i="12"/>
  <c r="AX11" i="12" s="1"/>
  <c r="D17" i="12"/>
  <c r="AX17" i="12" s="1"/>
  <c r="D23" i="12"/>
  <c r="AX23" i="12" s="1"/>
  <c r="D29" i="12"/>
  <c r="AX29" i="12" s="1"/>
  <c r="D35" i="12"/>
  <c r="AX35" i="12" s="1"/>
  <c r="D43" i="12"/>
  <c r="AX43" i="12" s="1"/>
  <c r="D8" i="12"/>
  <c r="D12" i="12"/>
  <c r="AX12" i="12" s="1"/>
  <c r="D16" i="12"/>
  <c r="BA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BA10" i="12" l="1"/>
  <c r="BD18" i="12"/>
  <c r="BD9" i="12"/>
  <c r="BD16" i="12"/>
  <c r="BD7" i="12"/>
  <c r="BD10" i="12"/>
  <c r="BA11" i="12"/>
  <c r="BA9"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<sst xmlns="http://schemas.openxmlformats.org/spreadsheetml/2006/main" count="245" uniqueCount="135">
  <si>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</si>
  <si>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</si>
  <si>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</si>
  <si>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</si>
  <si>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</si>
  <si>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</si>
  <si>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</si>
  <si>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</si>
  <si>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</si>
  <si>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</si>
  <si>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</si>
  <si>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</si>
  <si>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</si>
  <si>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</si>
  <si>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</si>
  <si>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</si>
  <si>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</si>
  <si>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</si>
  <si>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</si>
  <si>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</si>
  <si>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</si>
  <si>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</si>
  <si>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</si>
  <si>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</si>
  <si>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</si>
  <si>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</si>
  <si>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</si>
  <si>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</si>
  <si>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</si>
  <si>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</si>
  <si>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</si>
  <si>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</si>
  <si>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</si>
  <si>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</si>
  <si>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</si>
  <si>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</si>
  <si>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</si>
  <si>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</si>
  <si>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</si>
  <si>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</si>
  <si>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</si>
  <si>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</si>
  <si>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</si>
  <si>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</si>
  <si>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</si>
  <si>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</si>
  <si>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</si>
  <si>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</si>
  <si>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</si>
  <si>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</si>
  <si>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</si>
  <si>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</si>
  <si>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</si>
  <si>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</si>
  <si>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</si>
  <si>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</si>
  <si>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</si>
  <si>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</si>
  <si>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</si>
  <si>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</si>
  <si>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</si>
  <si>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</si>
  <si>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</si>
  <si>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</si>
  <si>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</si>
  <si>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</si>
  <si>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</si>
  <si>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</si>
  <si>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</si>
  <si>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</si>
  <si>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</si>
  <si>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</si>
  <si>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</si>
  <si>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</si>
  <si>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</si>
  <si>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</si>
  <si>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</si>
  <si>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</si>
  <si>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</si>
  <si>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</si>
  <si>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</si>
  <si>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</si>
  <si>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</si>
  <si>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</si>
  <si>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</si>
  <si>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</si>
  <si>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</si>
  <si>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</si>
  <si>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</si>
  <si>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</si>
  <si>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</si>
  <si>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</si>
  <si>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</si>
  <si>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</si>
  <si>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</si>
  <si>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</si>
  <si>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Acidal NC - acidificante</t>
  </si>
  <si>
    <t>ARROZ, QUIRERA</t>
  </si>
  <si>
    <t>AÇÚCAR</t>
  </si>
  <si>
    <t>Adsorvente Micotoxina</t>
  </si>
  <si>
    <t>BHT - antioxidante</t>
  </si>
  <si>
    <t>Blend de Acidificantes</t>
  </si>
  <si>
    <t>CALCÁRIO CALCÍTICO (32% de Ca)</t>
  </si>
  <si>
    <t>CLORETO DE COLINA (60%)</t>
  </si>
  <si>
    <t>Complexo Enzimático</t>
  </si>
  <si>
    <t>Enzima Fitase (5000 FTU)</t>
  </si>
  <si>
    <t>FARELO DE BOLACHA</t>
  </si>
  <si>
    <t>FARELO DE GLÚTEN de milho (60%)</t>
  </si>
  <si>
    <t>FARELO DE TRIGO</t>
  </si>
  <si>
    <t>FARINHA DE CARNE E OSSOS (52%)</t>
  </si>
  <si>
    <t>FOSFATO BICÁLCICO (18%)</t>
  </si>
  <si>
    <t>LEITE EM PÓ DESNATADO</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</si>
  <si>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</si>
  <si>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</si>
  <si>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</si>
  <si>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</si>
  <si>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</si>
  <si>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</si>
  <si>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</si>
  <si>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</si>
  <si>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</si>
  <si>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</si>
  <si>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</si>
  <si>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</si>
  <si>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Nuklospray K-21 (cadastrar a matriz nutricional)</t>
  </si>
  <si>
    <t>Nuklospray K-24 (cadastrar a matriz nutricional)</t>
  </si>
  <si>
    <t>Sangue HEMÁCEAS (cadastrar a matriz nutricional)</t>
  </si>
  <si>
    <t>SORO DE LEITE</t>
  </si>
  <si>
    <t>Sucram</t>
  </si>
  <si>
    <t>FARELO DE SOJA (45%) (inserir preço)</t>
  </si>
  <si>
    <t>MILHO (8%) (inserir preço)</t>
  </si>
  <si>
    <t>SOJA EXTRUSADA (inserir preço)</t>
  </si>
  <si>
    <t>SOJA MICRONIZADA(inserir preço)</t>
  </si>
  <si>
    <t>SOJA TOSTADA (inserir preço)</t>
  </si>
  <si>
    <t>Milheto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</si>
</sst>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4" fillId="4" borderId="0" xfId="0" applyFont="1" applyFill="1" applyAlignment="1">
      <alignment horizont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82</v>
      </c>
      <c r="B1" s="220"/>
    </row>
    <row r="2" spans="1:18" x14ac:dyDescent="0.3">
      <c r="A2" s="221" t="s">
        <v>95</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E7" activePane="bottomRight" state="frozen"/>
      <selection pane="topRight" activeCell="E1" sqref="E1"/>
      <selection pane="bottomLeft" activeCell="A7" sqref="A7"/>
      <selection pane="bottomRight" activeCell="C20" sqref="C20"/>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94</v>
      </c>
      <c r="G5" s="165" t="s">
        <v>41</v>
      </c>
      <c r="H5" s="165" t="s">
        <v>24</v>
      </c>
      <c r="I5" s="165" t="s">
        <v>42</v>
      </c>
      <c r="J5" s="165" t="s">
        <v>25</v>
      </c>
      <c r="K5" s="165" t="s">
        <v>43</v>
      </c>
      <c r="L5" s="165" t="s">
        <v>26</v>
      </c>
      <c r="M5" s="165" t="s">
        <v>71</v>
      </c>
      <c r="N5" s="165" t="s">
        <v>72</v>
      </c>
      <c r="O5" s="165" t="s">
        <v>81</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96</v>
      </c>
      <c r="C7" s="3">
        <v>25</v>
      </c>
      <c r="D7" s="71"/>
      <c r="E7" s="71"/>
      <c r="F7" s="148"/>
      <c r="G7" s="119">
        <v>100</v>
      </c>
      <c r="H7" s="119"/>
      <c r="I7" s="119"/>
      <c r="J7" s="119"/>
      <c r="K7" s="119"/>
      <c r="L7" s="119"/>
      <c r="M7" s="119"/>
      <c r="N7" s="119"/>
      <c r="O7" s="119"/>
      <c r="P7" s="119"/>
      <c r="Q7" s="119"/>
      <c r="R7" s="119"/>
      <c r="S7" s="160">
        <f t="shared" ref="S7:S70" si="0">((P7*10000/39.1)+(Q7*10000/23)-(R7*10000/35.5))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98</v>
      </c>
      <c r="C8" s="3">
        <v>2.85</v>
      </c>
      <c r="D8" s="71"/>
      <c r="E8" s="71"/>
      <c r="F8" s="148">
        <v>3737</v>
      </c>
      <c r="G8" s="119">
        <v>99</v>
      </c>
      <c r="H8" s="119"/>
      <c r="I8" s="119"/>
      <c r="J8" s="119"/>
      <c r="K8" s="119"/>
      <c r="L8" s="119"/>
      <c r="M8" s="119"/>
      <c r="N8" s="119"/>
      <c r="O8" s="119"/>
      <c r="P8" s="119"/>
      <c r="Q8" s="119"/>
      <c r="R8" s="119"/>
      <c r="S8" s="160">
        <f t="shared" si="0"/>
        <v>0</v>
      </c>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99</v>
      </c>
      <c r="C9" s="3">
        <v>7.5</v>
      </c>
      <c r="D9" s="71"/>
      <c r="E9" s="71"/>
      <c r="F9" s="148"/>
      <c r="G9" s="119">
        <v>100</v>
      </c>
      <c r="H9" s="119"/>
      <c r="I9" s="119"/>
      <c r="J9" s="119"/>
      <c r="K9" s="119"/>
      <c r="L9" s="119"/>
      <c r="M9" s="119"/>
      <c r="N9" s="119"/>
      <c r="O9" s="119"/>
      <c r="P9" s="119"/>
      <c r="Q9" s="119"/>
      <c r="R9" s="119"/>
      <c r="S9" s="160">
        <f t="shared" si="0"/>
        <v>0</v>
      </c>
      <c r="T9" s="119"/>
      <c r="U9" s="119"/>
      <c r="V9" s="119">
        <v>0</v>
      </c>
      <c r="W9" s="119"/>
      <c r="X9" s="119"/>
      <c r="Y9" s="119"/>
      <c r="Z9" s="119"/>
      <c r="AA9" s="119"/>
      <c r="AB9" s="119"/>
      <c r="AC9" s="119"/>
      <c r="AD9" s="119"/>
      <c r="AE9" s="119"/>
      <c r="AF9" s="119"/>
      <c r="AG9" s="119"/>
      <c r="AH9" s="119"/>
      <c r="AI9" s="119"/>
      <c r="AJ9" s="119"/>
      <c r="AK9" s="119"/>
      <c r="AL9" s="119"/>
      <c r="AM9" s="119"/>
      <c r="AN9" s="119"/>
      <c r="AO9" s="119"/>
      <c r="AP9" s="119"/>
      <c r="AQ9" s="119"/>
      <c r="AR9" s="119"/>
      <c r="AS9" s="3"/>
    </row>
    <row r="10" spans="2:45" s="68" customFormat="1" ht="14.4" x14ac:dyDescent="0.3">
      <c r="B10" s="4" t="s">
        <v>97</v>
      </c>
      <c r="C10" s="3">
        <v>1.65</v>
      </c>
      <c r="D10" s="71"/>
      <c r="E10" s="71"/>
      <c r="F10" s="148">
        <v>3489</v>
      </c>
      <c r="G10" s="119">
        <v>88.4</v>
      </c>
      <c r="H10" s="119">
        <v>8.34</v>
      </c>
      <c r="I10" s="119">
        <v>1.21</v>
      </c>
      <c r="J10" s="119"/>
      <c r="K10" s="119">
        <v>0.6</v>
      </c>
      <c r="L10" s="119">
        <v>0.05</v>
      </c>
      <c r="M10" s="119">
        <v>0.18</v>
      </c>
      <c r="N10" s="119">
        <v>0.06</v>
      </c>
      <c r="O10" s="119">
        <v>0.13</v>
      </c>
      <c r="P10" s="119">
        <v>0.2</v>
      </c>
      <c r="Q10" s="119">
        <v>0.02</v>
      </c>
      <c r="R10" s="119">
        <v>0.05</v>
      </c>
      <c r="S10" s="160">
        <f t="shared" si="0"/>
        <v>45.762040272324484</v>
      </c>
      <c r="T10" s="119">
        <v>0.3</v>
      </c>
      <c r="U10" s="119">
        <v>0.26</v>
      </c>
      <c r="V10" s="119">
        <v>0.2</v>
      </c>
      <c r="W10" s="119">
        <v>0.17</v>
      </c>
      <c r="X10" s="119">
        <v>0.37</v>
      </c>
      <c r="Y10" s="119">
        <v>0.3</v>
      </c>
      <c r="Z10" s="119">
        <v>0.28000000000000003</v>
      </c>
      <c r="AA10" s="119">
        <v>0.23</v>
      </c>
      <c r="AB10" s="119">
        <v>0.1</v>
      </c>
      <c r="AC10" s="119">
        <v>0.08</v>
      </c>
      <c r="AD10" s="119"/>
      <c r="AE10" s="119"/>
      <c r="AF10" s="119"/>
      <c r="AG10" s="119"/>
      <c r="AH10" s="119"/>
      <c r="AI10" s="119"/>
      <c r="AJ10" s="119"/>
      <c r="AK10" s="119"/>
      <c r="AL10" s="119"/>
      <c r="AM10" s="119"/>
      <c r="AN10" s="119"/>
      <c r="AO10" s="119"/>
      <c r="AP10" s="119"/>
      <c r="AQ10" s="119"/>
      <c r="AR10" s="119"/>
      <c r="AS10" s="3"/>
    </row>
    <row r="11" spans="2:45" s="68" customFormat="1" ht="14.4" x14ac:dyDescent="0.3">
      <c r="B11" s="188" t="s">
        <v>100</v>
      </c>
      <c r="C11" s="3">
        <v>35</v>
      </c>
      <c r="D11" s="71"/>
      <c r="E11" s="71"/>
      <c r="F11" s="148"/>
      <c r="G11" s="119">
        <v>100</v>
      </c>
      <c r="H11" s="119"/>
      <c r="I11" s="119"/>
      <c r="J11" s="119"/>
      <c r="K11" s="119"/>
      <c r="L11" s="119"/>
      <c r="M11" s="119"/>
      <c r="N11" s="119"/>
      <c r="O11" s="119"/>
      <c r="P11" s="119"/>
      <c r="Q11" s="119"/>
      <c r="R11" s="119"/>
      <c r="S11" s="160">
        <f t="shared" si="0"/>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101</v>
      </c>
      <c r="C12" s="3">
        <v>9</v>
      </c>
      <c r="D12" s="71"/>
      <c r="E12" s="71"/>
      <c r="F12" s="148"/>
      <c r="G12" s="119">
        <v>100</v>
      </c>
      <c r="H12" s="119"/>
      <c r="I12" s="119"/>
      <c r="J12" s="119"/>
      <c r="K12" s="119"/>
      <c r="L12" s="119"/>
      <c r="M12" s="119"/>
      <c r="N12" s="119"/>
      <c r="O12" s="119"/>
      <c r="P12" s="119"/>
      <c r="Q12" s="119"/>
      <c r="R12" s="119"/>
      <c r="S12" s="160">
        <f t="shared" si="0"/>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102</v>
      </c>
      <c r="C13" s="3">
        <v>2.5</v>
      </c>
      <c r="D13" s="71"/>
      <c r="E13" s="71"/>
      <c r="F13" s="148"/>
      <c r="G13" s="119">
        <v>100</v>
      </c>
      <c r="H13" s="119"/>
      <c r="I13" s="119"/>
      <c r="J13" s="119"/>
      <c r="K13" s="119"/>
      <c r="L13" s="119">
        <v>32</v>
      </c>
      <c r="M13" s="119"/>
      <c r="N13" s="119"/>
      <c r="O13" s="119"/>
      <c r="P13" s="119"/>
      <c r="Q13" s="119"/>
      <c r="R13" s="119"/>
      <c r="S13" s="160">
        <f t="shared" si="0"/>
        <v>0</v>
      </c>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10</v>
      </c>
      <c r="D14" s="71"/>
      <c r="E14" s="71"/>
      <c r="F14" s="148"/>
      <c r="G14" s="119">
        <v>100</v>
      </c>
      <c r="H14" s="119"/>
      <c r="I14" s="119"/>
      <c r="J14" s="119"/>
      <c r="K14" s="119"/>
      <c r="L14" s="119"/>
      <c r="M14" s="119"/>
      <c r="N14" s="119"/>
      <c r="O14" s="119"/>
      <c r="P14" s="119"/>
      <c r="Q14" s="119"/>
      <c r="R14" s="119"/>
      <c r="S14" s="160">
        <f t="shared" si="0"/>
        <v>0</v>
      </c>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3"/>
    </row>
    <row r="15" spans="2:45" s="68" customFormat="1" ht="14.4" x14ac:dyDescent="0.3">
      <c r="B15" s="4" t="s">
        <v>104</v>
      </c>
      <c r="C15" s="3">
        <v>15</v>
      </c>
      <c r="D15" s="71"/>
      <c r="E15" s="71"/>
      <c r="F15" s="148"/>
      <c r="G15" s="119">
        <v>100</v>
      </c>
      <c r="H15" s="119"/>
      <c r="I15" s="119"/>
      <c r="J15" s="119"/>
      <c r="K15" s="119"/>
      <c r="L15" s="119"/>
      <c r="M15" s="119"/>
      <c r="N15" s="119"/>
      <c r="O15" s="119"/>
      <c r="P15" s="119"/>
      <c r="Q15" s="119"/>
      <c r="R15" s="119"/>
      <c r="S15" s="160">
        <f t="shared" si="0"/>
        <v>0</v>
      </c>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115</v>
      </c>
      <c r="C16" s="6">
        <v>20</v>
      </c>
      <c r="D16" s="71"/>
      <c r="E16" s="71"/>
      <c r="F16" s="149"/>
      <c r="G16" s="120">
        <v>99</v>
      </c>
      <c r="H16" s="120"/>
      <c r="I16" s="120"/>
      <c r="J16" s="120">
        <v>0</v>
      </c>
      <c r="K16" s="120"/>
      <c r="L16" s="120"/>
      <c r="M16" s="120"/>
      <c r="N16" s="120"/>
      <c r="O16" s="120"/>
      <c r="P16" s="120"/>
      <c r="Q16" s="120"/>
      <c r="R16" s="120">
        <v>0</v>
      </c>
      <c r="S16" s="160">
        <f t="shared" si="0"/>
        <v>0</v>
      </c>
      <c r="T16" s="120"/>
      <c r="U16" s="120"/>
      <c r="V16" s="120">
        <v>99</v>
      </c>
      <c r="W16" s="120">
        <v>99</v>
      </c>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16</v>
      </c>
      <c r="D17" s="71"/>
      <c r="E17" s="71"/>
      <c r="F17" s="149"/>
      <c r="G17" s="120">
        <v>99</v>
      </c>
      <c r="H17" s="120"/>
      <c r="I17" s="120"/>
      <c r="J17" s="120"/>
      <c r="K17" s="120"/>
      <c r="L17" s="120"/>
      <c r="M17" s="120">
        <v>1.3</v>
      </c>
      <c r="N17" s="120">
        <v>1.3</v>
      </c>
      <c r="O17" s="120"/>
      <c r="P17" s="120"/>
      <c r="Q17" s="120"/>
      <c r="R17" s="120"/>
      <c r="S17" s="160">
        <f t="shared" si="0"/>
        <v>0</v>
      </c>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0.8</v>
      </c>
      <c r="D18" s="71"/>
      <c r="E18" s="71"/>
      <c r="F18" s="149">
        <v>3480</v>
      </c>
      <c r="G18" s="120">
        <v>92.5</v>
      </c>
      <c r="H18" s="120">
        <v>8.69</v>
      </c>
      <c r="I18" s="120">
        <v>8.2799999999999994</v>
      </c>
      <c r="J18" s="120"/>
      <c r="K18" s="120">
        <v>1.7</v>
      </c>
      <c r="L18" s="120">
        <v>0.05</v>
      </c>
      <c r="M18" s="120">
        <v>0.15</v>
      </c>
      <c r="N18" s="120">
        <v>0.1</v>
      </c>
      <c r="O18" s="120">
        <v>0.05</v>
      </c>
      <c r="P18" s="120">
        <v>0.17</v>
      </c>
      <c r="Q18" s="120">
        <v>0.19</v>
      </c>
      <c r="R18" s="120">
        <v>0.3</v>
      </c>
      <c r="S18" s="160">
        <f t="shared" si="0"/>
        <v>41.579914268218005</v>
      </c>
      <c r="T18" s="120">
        <v>0.23</v>
      </c>
      <c r="U18" s="120">
        <v>0.19</v>
      </c>
      <c r="V18" s="120">
        <v>0.13</v>
      </c>
      <c r="W18" s="120">
        <v>0.11</v>
      </c>
      <c r="X18" s="120">
        <v>0.28999999999999998</v>
      </c>
      <c r="Y18" s="120">
        <v>0.25</v>
      </c>
      <c r="Z18" s="120">
        <v>0.27</v>
      </c>
      <c r="AA18" s="120">
        <v>0.22</v>
      </c>
      <c r="AB18" s="120">
        <v>0.1</v>
      </c>
      <c r="AC18" s="120">
        <v>0.08</v>
      </c>
      <c r="AD18" s="120">
        <v>0.36</v>
      </c>
      <c r="AE18" s="120">
        <v>0.3</v>
      </c>
      <c r="AF18" s="120"/>
      <c r="AG18" s="120"/>
      <c r="AH18" s="120"/>
      <c r="AI18" s="120"/>
      <c r="AJ18" s="120"/>
      <c r="AK18" s="120"/>
      <c r="AL18" s="120"/>
      <c r="AM18" s="120"/>
      <c r="AN18" s="120"/>
      <c r="AO18" s="120"/>
      <c r="AP18" s="120"/>
      <c r="AQ18" s="120"/>
      <c r="AR18" s="120"/>
      <c r="AS18" s="6"/>
    </row>
    <row r="19" spans="2:45" s="68" customFormat="1" ht="14.4" x14ac:dyDescent="0.3">
      <c r="B19" s="5" t="s">
        <v>107</v>
      </c>
      <c r="C19" s="6">
        <v>4.5</v>
      </c>
      <c r="D19" s="71"/>
      <c r="E19" s="71"/>
      <c r="F19" s="149">
        <v>3929</v>
      </c>
      <c r="G19" s="120">
        <v>91.2</v>
      </c>
      <c r="H19" s="120">
        <v>61.5</v>
      </c>
      <c r="I19" s="120">
        <v>1.98</v>
      </c>
      <c r="J19" s="120">
        <v>1.21</v>
      </c>
      <c r="K19" s="120">
        <v>1.23</v>
      </c>
      <c r="L19" s="120">
        <v>0.03</v>
      </c>
      <c r="M19" s="120">
        <v>0.52</v>
      </c>
      <c r="N19" s="120">
        <v>0.05</v>
      </c>
      <c r="O19" s="120">
        <v>0.47</v>
      </c>
      <c r="P19" s="120">
        <v>0.3</v>
      </c>
      <c r="Q19" s="120">
        <v>0.02</v>
      </c>
      <c r="R19" s="120">
        <v>0.05</v>
      </c>
      <c r="S19" s="160">
        <f t="shared" si="0"/>
        <v>71.337487842656969</v>
      </c>
      <c r="T19" s="120">
        <v>1</v>
      </c>
      <c r="U19" s="120">
        <v>0.88</v>
      </c>
      <c r="V19" s="120">
        <v>1.34</v>
      </c>
      <c r="W19" s="120">
        <v>1.25</v>
      </c>
      <c r="X19" s="120">
        <v>2.44</v>
      </c>
      <c r="Y19" s="120">
        <v>2.2000000000000002</v>
      </c>
      <c r="Z19" s="120">
        <v>2.0299999999999998</v>
      </c>
      <c r="AA19" s="120">
        <v>1.83</v>
      </c>
      <c r="AB19" s="120">
        <v>0.35</v>
      </c>
      <c r="AC19" s="120">
        <v>0.28000000000000003</v>
      </c>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129</v>
      </c>
      <c r="C20" s="6">
        <v>2.5499999999999998</v>
      </c>
      <c r="D20" s="71"/>
      <c r="E20" s="71"/>
      <c r="F20" s="149">
        <v>3179</v>
      </c>
      <c r="G20" s="120">
        <v>89.6</v>
      </c>
      <c r="H20" s="120">
        <v>45.4</v>
      </c>
      <c r="I20" s="120">
        <v>1.95</v>
      </c>
      <c r="J20" s="120">
        <v>0.67</v>
      </c>
      <c r="K20" s="120">
        <v>4.8600000000000003</v>
      </c>
      <c r="L20" s="120">
        <v>0.34</v>
      </c>
      <c r="M20" s="120">
        <v>0.55000000000000004</v>
      </c>
      <c r="N20" s="120">
        <v>0.19</v>
      </c>
      <c r="O20" s="120">
        <v>0.36</v>
      </c>
      <c r="P20" s="120">
        <v>1.83</v>
      </c>
      <c r="Q20" s="120">
        <v>0.02</v>
      </c>
      <c r="R20" s="120">
        <v>0.05</v>
      </c>
      <c r="S20" s="160">
        <f t="shared" si="0"/>
        <v>462.64183566874391</v>
      </c>
      <c r="T20" s="120">
        <v>2.8</v>
      </c>
      <c r="U20" s="120">
        <v>2.52</v>
      </c>
      <c r="V20" s="120">
        <v>0.61</v>
      </c>
      <c r="W20" s="120">
        <v>0.56000000000000005</v>
      </c>
      <c r="X20" s="120">
        <v>1.28</v>
      </c>
      <c r="Y20" s="120">
        <v>1.1599999999999999</v>
      </c>
      <c r="Z20" s="120">
        <v>1.78</v>
      </c>
      <c r="AA20" s="120">
        <v>1.54</v>
      </c>
      <c r="AB20" s="120">
        <v>0.64</v>
      </c>
      <c r="AC20" s="120">
        <v>0.56999999999999995</v>
      </c>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108</v>
      </c>
      <c r="C21" s="6">
        <v>1.2</v>
      </c>
      <c r="D21" s="71"/>
      <c r="E21" s="71"/>
      <c r="F21" s="149">
        <v>2370</v>
      </c>
      <c r="G21" s="120">
        <v>88.5</v>
      </c>
      <c r="H21" s="120">
        <v>15.1</v>
      </c>
      <c r="I21" s="120">
        <v>3.4</v>
      </c>
      <c r="J21" s="120">
        <v>1.54</v>
      </c>
      <c r="K21" s="120">
        <v>9.07</v>
      </c>
      <c r="L21" s="120">
        <v>0.14000000000000001</v>
      </c>
      <c r="M21" s="120">
        <v>0.94</v>
      </c>
      <c r="N21" s="120">
        <v>0.49</v>
      </c>
      <c r="O21" s="120">
        <v>0.45</v>
      </c>
      <c r="P21" s="120">
        <v>1.1000000000000001</v>
      </c>
      <c r="Q21" s="120">
        <v>0.02</v>
      </c>
      <c r="R21" s="120">
        <v>7.0000000000000007E-2</v>
      </c>
      <c r="S21" s="160">
        <f t="shared" si="0"/>
        <v>270.30726558841542</v>
      </c>
      <c r="T21" s="120">
        <v>0.6</v>
      </c>
      <c r="U21" s="120">
        <v>0.43</v>
      </c>
      <c r="V21" s="120">
        <v>0.24</v>
      </c>
      <c r="W21" s="120">
        <v>0.18</v>
      </c>
      <c r="X21" s="120">
        <v>0.55000000000000004</v>
      </c>
      <c r="Y21" s="120">
        <v>0.41</v>
      </c>
      <c r="Z21" s="120">
        <v>0.51</v>
      </c>
      <c r="AA21" s="120">
        <v>0.33</v>
      </c>
      <c r="AB21" s="120">
        <v>0.22</v>
      </c>
      <c r="AC21" s="120">
        <v>0.16</v>
      </c>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109</v>
      </c>
      <c r="C22" s="6">
        <v>3.4</v>
      </c>
      <c r="D22" s="71"/>
      <c r="E22" s="71"/>
      <c r="F22" s="149">
        <v>2599</v>
      </c>
      <c r="G22" s="120">
        <v>93.9</v>
      </c>
      <c r="H22" s="120">
        <v>51.7</v>
      </c>
      <c r="I22" s="120">
        <v>12.2</v>
      </c>
      <c r="J22" s="120">
        <v>0.31</v>
      </c>
      <c r="K22" s="120">
        <v>0</v>
      </c>
      <c r="L22" s="120">
        <v>9.5399999999999991</v>
      </c>
      <c r="M22" s="120">
        <v>4.78</v>
      </c>
      <c r="N22" s="120">
        <v>4.3</v>
      </c>
      <c r="O22" s="120"/>
      <c r="P22" s="120">
        <v>0.53</v>
      </c>
      <c r="Q22" s="120">
        <v>0.66</v>
      </c>
      <c r="R22" s="120">
        <v>0.61</v>
      </c>
      <c r="S22" s="160">
        <f t="shared" si="0"/>
        <v>250.67540794639959</v>
      </c>
      <c r="T22" s="120">
        <v>2.73</v>
      </c>
      <c r="U22" s="120">
        <v>2.1800000000000002</v>
      </c>
      <c r="V22" s="120">
        <v>0.7</v>
      </c>
      <c r="W22" s="120">
        <v>0.57999999999999996</v>
      </c>
      <c r="X22" s="120">
        <v>1.21</v>
      </c>
      <c r="Y22" s="120">
        <v>0.96</v>
      </c>
      <c r="Z22" s="120">
        <v>1.71</v>
      </c>
      <c r="AA22" s="120">
        <v>1.34</v>
      </c>
      <c r="AB22" s="120">
        <v>0.28000000000000003</v>
      </c>
      <c r="AC22" s="120">
        <v>0.23</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110</v>
      </c>
      <c r="C23" s="6">
        <v>10.5</v>
      </c>
      <c r="D23" s="71"/>
      <c r="E23" s="71"/>
      <c r="F23" s="149"/>
      <c r="G23" s="120">
        <v>99</v>
      </c>
      <c r="H23" s="120"/>
      <c r="I23" s="120"/>
      <c r="J23" s="120"/>
      <c r="K23" s="120"/>
      <c r="L23" s="120">
        <v>24.5</v>
      </c>
      <c r="M23" s="120">
        <v>18.5</v>
      </c>
      <c r="N23" s="120">
        <v>18.5</v>
      </c>
      <c r="O23" s="120"/>
      <c r="P23" s="120"/>
      <c r="Q23" s="120"/>
      <c r="R23" s="120"/>
      <c r="S23" s="160">
        <f t="shared" si="0"/>
        <v>0</v>
      </c>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6"/>
    </row>
    <row r="24" spans="2:45" s="68" customFormat="1" ht="14.4" x14ac:dyDescent="0.3">
      <c r="B24" s="5" t="s">
        <v>111</v>
      </c>
      <c r="C24" s="6">
        <v>18</v>
      </c>
      <c r="D24" s="71"/>
      <c r="E24" s="71"/>
      <c r="F24" s="149">
        <v>3646</v>
      </c>
      <c r="G24" s="120">
        <v>94.1</v>
      </c>
      <c r="H24" s="120">
        <v>33.4</v>
      </c>
      <c r="I24" s="120">
        <v>0.79</v>
      </c>
      <c r="J24" s="120">
        <v>0.02</v>
      </c>
      <c r="K24" s="120"/>
      <c r="L24" s="120">
        <v>1.3</v>
      </c>
      <c r="M24" s="120">
        <v>0.9</v>
      </c>
      <c r="N24" s="120">
        <v>0.9</v>
      </c>
      <c r="O24" s="120"/>
      <c r="P24" s="120">
        <v>1.53</v>
      </c>
      <c r="Q24" s="120">
        <v>0.47</v>
      </c>
      <c r="R24" s="120">
        <v>0.94</v>
      </c>
      <c r="S24" s="160">
        <f t="shared" si="0"/>
        <v>330.86344151867729</v>
      </c>
      <c r="T24" s="120">
        <v>2.61</v>
      </c>
      <c r="U24" s="120">
        <v>2.4300000000000002</v>
      </c>
      <c r="V24" s="120">
        <v>0.84</v>
      </c>
      <c r="W24" s="120">
        <v>0.8</v>
      </c>
      <c r="X24" s="120">
        <v>1.1200000000000001</v>
      </c>
      <c r="Y24" s="120">
        <v>1.04</v>
      </c>
      <c r="Z24" s="120">
        <v>1.51</v>
      </c>
      <c r="AA24" s="120">
        <v>1.35</v>
      </c>
      <c r="AB24" s="120">
        <v>0.37</v>
      </c>
      <c r="AC24" s="120">
        <v>0.34</v>
      </c>
      <c r="AD24" s="120"/>
      <c r="AE24" s="120"/>
      <c r="AF24" s="120"/>
      <c r="AG24" s="120"/>
      <c r="AH24" s="120"/>
      <c r="AI24" s="120"/>
      <c r="AJ24" s="120"/>
      <c r="AK24" s="120"/>
      <c r="AL24" s="120"/>
      <c r="AM24" s="120"/>
      <c r="AN24" s="120"/>
      <c r="AO24" s="120"/>
      <c r="AP24" s="120"/>
      <c r="AQ24" s="120"/>
      <c r="AR24" s="120"/>
      <c r="AS24" s="6"/>
    </row>
    <row r="25" spans="2:45" s="68" customFormat="1" ht="14.4" x14ac:dyDescent="0.3">
      <c r="B25" s="5" t="s">
        <v>112</v>
      </c>
      <c r="C25" s="6">
        <v>35</v>
      </c>
      <c r="D25" s="71"/>
      <c r="E25" s="71"/>
      <c r="F25" s="149"/>
      <c r="G25" s="120">
        <v>99</v>
      </c>
      <c r="H25" s="120"/>
      <c r="I25" s="120"/>
      <c r="J25" s="120"/>
      <c r="K25" s="120"/>
      <c r="L25" s="120"/>
      <c r="M25" s="120"/>
      <c r="N25" s="120"/>
      <c r="O25" s="120"/>
      <c r="P25" s="120"/>
      <c r="Q25" s="120"/>
      <c r="R25" s="120"/>
      <c r="S25" s="160">
        <f t="shared" si="0"/>
        <v>0</v>
      </c>
      <c r="T25" s="120">
        <v>78</v>
      </c>
      <c r="U25" s="120">
        <v>78</v>
      </c>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113</v>
      </c>
      <c r="C26" s="6">
        <v>24</v>
      </c>
      <c r="D26" s="71"/>
      <c r="E26" s="71"/>
      <c r="F26" s="149"/>
      <c r="G26" s="120">
        <v>99</v>
      </c>
      <c r="H26" s="120"/>
      <c r="I26" s="120"/>
      <c r="J26" s="120"/>
      <c r="K26" s="120"/>
      <c r="L26" s="120"/>
      <c r="M26" s="120"/>
      <c r="N26" s="120"/>
      <c r="O26" s="120"/>
      <c r="P26" s="120"/>
      <c r="Q26" s="120"/>
      <c r="R26" s="120"/>
      <c r="S26" s="160">
        <f t="shared" si="0"/>
        <v>0</v>
      </c>
      <c r="T26" s="120"/>
      <c r="U26" s="120"/>
      <c r="V26" s="120"/>
      <c r="W26" s="120"/>
      <c r="X26" s="120"/>
      <c r="Y26" s="120"/>
      <c r="Z26" s="120">
        <v>98.5</v>
      </c>
      <c r="AA26" s="120">
        <v>98.5</v>
      </c>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114</v>
      </c>
      <c r="C27" s="6">
        <v>58</v>
      </c>
      <c r="D27" s="71"/>
      <c r="E27" s="71"/>
      <c r="F27" s="149"/>
      <c r="G27" s="120">
        <v>99</v>
      </c>
      <c r="H27" s="120"/>
      <c r="I27" s="120"/>
      <c r="J27" s="120"/>
      <c r="K27" s="120"/>
      <c r="L27" s="120"/>
      <c r="M27" s="120"/>
      <c r="N27" s="120"/>
      <c r="O27" s="120"/>
      <c r="P27" s="120"/>
      <c r="Q27" s="120"/>
      <c r="R27" s="120"/>
      <c r="S27" s="160">
        <f t="shared" si="0"/>
        <v>0</v>
      </c>
      <c r="T27" s="120"/>
      <c r="U27" s="120"/>
      <c r="V27" s="120"/>
      <c r="W27" s="120"/>
      <c r="X27" s="120"/>
      <c r="Y27" s="120"/>
      <c r="Z27" s="120"/>
      <c r="AA27" s="120"/>
      <c r="AB27" s="120">
        <v>98</v>
      </c>
      <c r="AC27" s="120">
        <v>98</v>
      </c>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0.5</v>
      </c>
      <c r="D28" s="71"/>
      <c r="E28" s="71"/>
      <c r="F28" s="149">
        <v>3538</v>
      </c>
      <c r="G28" s="120">
        <v>88.5</v>
      </c>
      <c r="H28" s="120">
        <v>11.9</v>
      </c>
      <c r="I28" s="120">
        <v>0.81</v>
      </c>
      <c r="J28" s="120">
        <v>0.46</v>
      </c>
      <c r="K28" s="120">
        <v>1.88</v>
      </c>
      <c r="L28" s="120">
        <v>0.08</v>
      </c>
      <c r="M28" s="120">
        <v>0.18</v>
      </c>
      <c r="N28" s="120">
        <v>0.09</v>
      </c>
      <c r="O28" s="120">
        <v>0.09</v>
      </c>
      <c r="P28" s="120">
        <v>0.18</v>
      </c>
      <c r="Q28" s="119">
        <v>0.01</v>
      </c>
      <c r="R28" s="120">
        <v>0</v>
      </c>
      <c r="S28" s="160">
        <f t="shared" si="0"/>
        <v>50.38363171355499</v>
      </c>
      <c r="T28" s="120">
        <v>0.23</v>
      </c>
      <c r="U28" s="120">
        <v>0.19</v>
      </c>
      <c r="V28" s="120">
        <v>0.18</v>
      </c>
      <c r="W28" s="120">
        <v>0.17</v>
      </c>
      <c r="X28" s="120">
        <v>0.45</v>
      </c>
      <c r="Y28" s="120">
        <v>0.41</v>
      </c>
      <c r="Z28" s="120">
        <v>0.32</v>
      </c>
      <c r="AA28" s="120">
        <v>0.27</v>
      </c>
      <c r="AB28" s="120">
        <v>0.13</v>
      </c>
      <c r="AC28" s="120"/>
      <c r="AD28" s="120">
        <v>0.45</v>
      </c>
      <c r="AE28" s="120">
        <v>0.42</v>
      </c>
      <c r="AF28" s="120"/>
      <c r="AG28" s="120"/>
      <c r="AH28" s="120"/>
      <c r="AI28" s="120"/>
      <c r="AJ28" s="120"/>
      <c r="AK28" s="120"/>
      <c r="AL28" s="120"/>
      <c r="AM28" s="120"/>
      <c r="AN28" s="120"/>
      <c r="AO28" s="120"/>
      <c r="AP28" s="120"/>
      <c r="AQ28" s="120"/>
      <c r="AR28" s="120"/>
      <c r="AS28" s="6"/>
    </row>
    <row r="29" spans="2:45" s="68" customFormat="1" ht="14.4" x14ac:dyDescent="0.3">
      <c r="B29" s="4" t="s">
        <v>134</v>
      </c>
      <c r="C29" s="3">
        <v>1.06</v>
      </c>
      <c r="D29" s="71"/>
      <c r="E29" s="71"/>
      <c r="F29" s="148">
        <v>3046</v>
      </c>
      <c r="G29" s="119">
        <v>89</v>
      </c>
      <c r="H29" s="119">
        <v>12.4</v>
      </c>
      <c r="I29" s="119"/>
      <c r="J29" s="119"/>
      <c r="K29" s="119">
        <v>2.52</v>
      </c>
      <c r="L29" s="119"/>
      <c r="M29" s="119"/>
      <c r="N29" s="119"/>
      <c r="O29" s="119"/>
      <c r="P29" s="119"/>
      <c r="Q29" s="119"/>
      <c r="R29" s="119"/>
      <c r="S29" s="160">
        <f t="shared" si="0"/>
        <v>0</v>
      </c>
      <c r="T29" s="119">
        <v>0.35</v>
      </c>
      <c r="U29" s="119">
        <v>0</v>
      </c>
      <c r="V29" s="119">
        <v>0.27</v>
      </c>
      <c r="W29" s="119"/>
      <c r="X29" s="119"/>
      <c r="Y29" s="119"/>
      <c r="Z29" s="119">
        <v>0.5</v>
      </c>
      <c r="AA29" s="119"/>
      <c r="AB29" s="119">
        <v>0.17</v>
      </c>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130</v>
      </c>
      <c r="C30" s="3">
        <v>1.41</v>
      </c>
      <c r="D30" s="71"/>
      <c r="E30" s="71"/>
      <c r="F30" s="148">
        <v>3360</v>
      </c>
      <c r="G30" s="119">
        <v>88.9</v>
      </c>
      <c r="H30" s="119">
        <v>7.9</v>
      </c>
      <c r="I30" s="119">
        <v>3.81</v>
      </c>
      <c r="J30" s="119">
        <v>1.91</v>
      </c>
      <c r="K30" s="119">
        <v>1.73</v>
      </c>
      <c r="L30" s="119">
        <v>0.02</v>
      </c>
      <c r="M30" s="119">
        <v>0.24</v>
      </c>
      <c r="N30" s="119">
        <v>0.06</v>
      </c>
      <c r="O30" s="119">
        <v>0.18</v>
      </c>
      <c r="P30" s="119">
        <v>0.32</v>
      </c>
      <c r="Q30" s="119">
        <v>0.01</v>
      </c>
      <c r="R30" s="119">
        <v>0.09</v>
      </c>
      <c r="S30" s="160">
        <f t="shared" si="0"/>
        <v>60.83714563596412</v>
      </c>
      <c r="T30" s="119">
        <v>0.23</v>
      </c>
      <c r="U30" s="119">
        <v>0.18</v>
      </c>
      <c r="V30" s="119">
        <v>0.16</v>
      </c>
      <c r="W30" s="119">
        <v>0.14000000000000001</v>
      </c>
      <c r="X30" s="119">
        <v>0.33</v>
      </c>
      <c r="Y30" s="119">
        <v>0.28999999999999998</v>
      </c>
      <c r="Z30" s="119">
        <v>0.31</v>
      </c>
      <c r="AA30" s="119">
        <v>0.24</v>
      </c>
      <c r="AB30" s="119">
        <v>0.06</v>
      </c>
      <c r="AC30" s="119">
        <v>0.05</v>
      </c>
      <c r="AD30" s="119">
        <v>0.37</v>
      </c>
      <c r="AE30" s="119">
        <v>0.33</v>
      </c>
      <c r="AF30" s="119"/>
      <c r="AG30" s="119"/>
      <c r="AH30" s="119"/>
      <c r="AI30" s="119"/>
      <c r="AJ30" s="119"/>
      <c r="AK30" s="119"/>
      <c r="AL30" s="119"/>
      <c r="AM30" s="119"/>
      <c r="AN30" s="119"/>
      <c r="AO30" s="119"/>
      <c r="AP30" s="119"/>
      <c r="AQ30" s="119"/>
      <c r="AR30" s="119"/>
      <c r="AS30" s="3"/>
    </row>
    <row r="31" spans="2:45" s="68" customFormat="1" ht="14.4" x14ac:dyDescent="0.3">
      <c r="B31" s="4" t="s">
        <v>124</v>
      </c>
      <c r="C31" s="3">
        <v>13</v>
      </c>
      <c r="D31" s="71"/>
      <c r="E31" s="71"/>
      <c r="F31" s="148"/>
      <c r="G31" s="119"/>
      <c r="H31" s="119"/>
      <c r="I31" s="119"/>
      <c r="J31" s="119"/>
      <c r="K31" s="119"/>
      <c r="L31" s="119"/>
      <c r="M31" s="119"/>
      <c r="N31" s="119"/>
      <c r="O31" s="119"/>
      <c r="P31" s="119"/>
      <c r="Q31" s="119"/>
      <c r="R31" s="119"/>
      <c r="S31" s="160">
        <f t="shared" si="0"/>
        <v>0</v>
      </c>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3"/>
    </row>
    <row r="32" spans="2:45" s="68" customFormat="1" ht="14.4" x14ac:dyDescent="0.3">
      <c r="B32" s="4" t="s">
        <v>125</v>
      </c>
      <c r="C32" s="3">
        <v>12</v>
      </c>
      <c r="D32" s="71"/>
      <c r="E32" s="71"/>
      <c r="F32" s="148"/>
      <c r="G32" s="119"/>
      <c r="H32" s="119"/>
      <c r="I32" s="119"/>
      <c r="J32" s="119"/>
      <c r="K32" s="119"/>
      <c r="L32" s="119"/>
      <c r="M32" s="119"/>
      <c r="N32" s="119"/>
      <c r="O32" s="119"/>
      <c r="P32" s="119"/>
      <c r="Q32" s="119"/>
      <c r="R32" s="119"/>
      <c r="S32" s="160">
        <f t="shared" si="0"/>
        <v>0</v>
      </c>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117</v>
      </c>
      <c r="C33" s="3">
        <v>7</v>
      </c>
      <c r="D33" s="71"/>
      <c r="E33" s="71"/>
      <c r="F33" s="148">
        <v>8300</v>
      </c>
      <c r="G33" s="119"/>
      <c r="H33" s="119"/>
      <c r="I33" s="119"/>
      <c r="J33" s="119">
        <v>1</v>
      </c>
      <c r="K33" s="119"/>
      <c r="L33" s="119"/>
      <c r="M33" s="119"/>
      <c r="N33" s="119"/>
      <c r="O33" s="119"/>
      <c r="P33" s="119"/>
      <c r="Q33" s="119"/>
      <c r="R33" s="119"/>
      <c r="S33" s="160">
        <f t="shared" si="0"/>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118</v>
      </c>
      <c r="C34" s="3">
        <v>10</v>
      </c>
      <c r="D34" s="71"/>
      <c r="E34" s="71"/>
      <c r="F34" s="148"/>
      <c r="G34" s="119">
        <v>100</v>
      </c>
      <c r="H34" s="119"/>
      <c r="I34" s="119"/>
      <c r="J34" s="119"/>
      <c r="K34" s="119"/>
      <c r="L34" s="119"/>
      <c r="M34" s="119"/>
      <c r="N34" s="119"/>
      <c r="O34" s="119"/>
      <c r="P34" s="119"/>
      <c r="Q34" s="119"/>
      <c r="R34" s="119"/>
      <c r="S34" s="160">
        <f t="shared" si="0"/>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119</v>
      </c>
      <c r="C35" s="3">
        <v>14</v>
      </c>
      <c r="D35" s="71"/>
      <c r="E35" s="71"/>
      <c r="F35" s="148"/>
      <c r="G35" s="119">
        <v>100</v>
      </c>
      <c r="H35" s="119"/>
      <c r="I35" s="119"/>
      <c r="J35" s="119"/>
      <c r="K35" s="119"/>
      <c r="L35" s="119"/>
      <c r="M35" s="119"/>
      <c r="N35" s="119"/>
      <c r="O35" s="119"/>
      <c r="P35" s="119"/>
      <c r="Q35" s="119"/>
      <c r="R35" s="119"/>
      <c r="S35" s="160">
        <f t="shared" si="0"/>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120</v>
      </c>
      <c r="C36" s="3">
        <v>13</v>
      </c>
      <c r="D36" s="71"/>
      <c r="E36" s="71"/>
      <c r="F36" s="148"/>
      <c r="G36" s="119">
        <v>100</v>
      </c>
      <c r="H36" s="119"/>
      <c r="I36" s="119"/>
      <c r="J36" s="119"/>
      <c r="K36" s="119"/>
      <c r="L36" s="119"/>
      <c r="M36" s="119"/>
      <c r="N36" s="119"/>
      <c r="O36" s="119"/>
      <c r="P36" s="119"/>
      <c r="Q36" s="119"/>
      <c r="R36" s="119"/>
      <c r="S36" s="160">
        <f t="shared" si="0"/>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121</v>
      </c>
      <c r="C37" s="3">
        <v>0.45</v>
      </c>
      <c r="D37" s="71"/>
      <c r="E37" s="71"/>
      <c r="F37" s="149"/>
      <c r="G37" s="120">
        <v>99.9</v>
      </c>
      <c r="H37" s="120"/>
      <c r="I37" s="120"/>
      <c r="J37" s="120"/>
      <c r="K37" s="120"/>
      <c r="L37" s="120"/>
      <c r="M37" s="120"/>
      <c r="N37" s="120"/>
      <c r="O37" s="120"/>
      <c r="P37" s="120"/>
      <c r="Q37" s="120">
        <v>40</v>
      </c>
      <c r="R37" s="120">
        <v>60</v>
      </c>
      <c r="S37" s="160">
        <f t="shared" si="0"/>
        <v>489.89589712186353</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126</v>
      </c>
      <c r="C38" s="3">
        <v>14.5</v>
      </c>
      <c r="D38" s="71"/>
      <c r="E38" s="71"/>
      <c r="F38" s="148"/>
      <c r="G38" s="119"/>
      <c r="H38" s="119"/>
      <c r="I38" s="119"/>
      <c r="J38" s="119"/>
      <c r="K38" s="119"/>
      <c r="L38" s="119"/>
      <c r="M38" s="119"/>
      <c r="N38" s="119"/>
      <c r="O38" s="119"/>
      <c r="P38" s="119"/>
      <c r="Q38" s="119"/>
      <c r="R38" s="119"/>
      <c r="S38" s="160">
        <f t="shared" si="0"/>
        <v>0</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122</v>
      </c>
      <c r="C39" s="3">
        <v>21</v>
      </c>
      <c r="D39" s="71"/>
      <c r="E39" s="71"/>
      <c r="F39" s="148">
        <v>3763</v>
      </c>
      <c r="G39" s="119">
        <v>91.3</v>
      </c>
      <c r="H39" s="119">
        <v>71.7</v>
      </c>
      <c r="I39" s="119">
        <v>1.03</v>
      </c>
      <c r="J39" s="119"/>
      <c r="K39" s="119"/>
      <c r="L39" s="119">
        <v>0.17</v>
      </c>
      <c r="M39" s="119">
        <v>0.46</v>
      </c>
      <c r="N39" s="119">
        <v>0.46</v>
      </c>
      <c r="O39" s="119"/>
      <c r="P39" s="119">
        <v>0.56000000000000005</v>
      </c>
      <c r="Q39" s="119">
        <v>3.12</v>
      </c>
      <c r="R39" s="119"/>
      <c r="S39" s="160">
        <f t="shared" si="0"/>
        <v>1499.7442455242967</v>
      </c>
      <c r="T39" s="119">
        <v>6.52</v>
      </c>
      <c r="U39" s="119">
        <v>6.2</v>
      </c>
      <c r="V39" s="119">
        <v>0.89</v>
      </c>
      <c r="W39" s="119">
        <v>0.83</v>
      </c>
      <c r="X39" s="119"/>
      <c r="Y39" s="119"/>
      <c r="Z39" s="119">
        <v>4.47</v>
      </c>
      <c r="AA39" s="119">
        <v>4.13</v>
      </c>
      <c r="AB39" s="119">
        <v>1.31</v>
      </c>
      <c r="AC39" s="119">
        <v>1.18</v>
      </c>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131</v>
      </c>
      <c r="C40" s="3">
        <v>0</v>
      </c>
      <c r="D40" s="71"/>
      <c r="E40" s="71"/>
      <c r="F40" s="148">
        <v>3956</v>
      </c>
      <c r="G40" s="119">
        <v>92.5</v>
      </c>
      <c r="H40" s="119">
        <v>37.299999999999997</v>
      </c>
      <c r="I40" s="119">
        <v>18.8</v>
      </c>
      <c r="J40" s="119">
        <v>9.4499999999999993</v>
      </c>
      <c r="K40" s="119">
        <v>5.19</v>
      </c>
      <c r="L40" s="119">
        <v>0.24</v>
      </c>
      <c r="M40" s="119">
        <v>0.56000000000000005</v>
      </c>
      <c r="N40" s="119">
        <v>0.17</v>
      </c>
      <c r="O40" s="119">
        <v>0.36</v>
      </c>
      <c r="P40" s="119"/>
      <c r="Q40" s="119">
        <v>0.03</v>
      </c>
      <c r="R40" s="119">
        <v>0.03</v>
      </c>
      <c r="S40" s="160">
        <f t="shared" si="0"/>
        <v>4.5927740355174524</v>
      </c>
      <c r="T40" s="119">
        <v>2.3199999999999998</v>
      </c>
      <c r="U40" s="119">
        <v>2</v>
      </c>
      <c r="V40" s="119">
        <v>0.5</v>
      </c>
      <c r="W40" s="119">
        <v>0.43</v>
      </c>
      <c r="X40" s="119">
        <v>1.08</v>
      </c>
      <c r="Y40" s="119">
        <v>0.9</v>
      </c>
      <c r="Z40" s="119">
        <v>1.44</v>
      </c>
      <c r="AA40" s="119">
        <v>1.24</v>
      </c>
      <c r="AB40" s="119">
        <v>0.51</v>
      </c>
      <c r="AC40" s="119">
        <v>0.4</v>
      </c>
      <c r="AD40" s="119">
        <v>2.67</v>
      </c>
      <c r="AE40" s="119">
        <v>2.4700000000000002</v>
      </c>
      <c r="AF40" s="119"/>
      <c r="AG40" s="119"/>
      <c r="AH40" s="119"/>
      <c r="AI40" s="119"/>
      <c r="AJ40" s="119"/>
      <c r="AK40" s="119"/>
      <c r="AL40" s="119"/>
      <c r="AM40" s="119"/>
      <c r="AN40" s="119"/>
      <c r="AO40" s="119"/>
      <c r="AP40" s="119"/>
      <c r="AQ40" s="119"/>
      <c r="AR40" s="119"/>
      <c r="AS40" s="3"/>
    </row>
    <row r="41" spans="2:45" s="68" customFormat="1" ht="14.4" x14ac:dyDescent="0.3">
      <c r="B41" s="4" t="s">
        <v>132</v>
      </c>
      <c r="C41" s="3">
        <v>0</v>
      </c>
      <c r="D41" s="71"/>
      <c r="E41" s="71"/>
      <c r="F41" s="148">
        <v>4330</v>
      </c>
      <c r="G41" s="119">
        <v>94</v>
      </c>
      <c r="H41" s="119">
        <v>39.700000000000003</v>
      </c>
      <c r="I41" s="119">
        <v>20.8</v>
      </c>
      <c r="J41" s="119">
        <v>10.6</v>
      </c>
      <c r="K41" s="119">
        <v>2.5099999999999998</v>
      </c>
      <c r="L41" s="119">
        <v>0.25</v>
      </c>
      <c r="M41" s="119">
        <v>0.56999999999999995</v>
      </c>
      <c r="N41" s="119">
        <v>0.2</v>
      </c>
      <c r="O41" s="119">
        <v>0.37</v>
      </c>
      <c r="P41" s="119"/>
      <c r="Q41" s="119">
        <v>0.03</v>
      </c>
      <c r="R41" s="119"/>
      <c r="S41" s="160">
        <f t="shared" si="0"/>
        <v>13.043478260869565</v>
      </c>
      <c r="T41" s="119">
        <v>2.4300000000000002</v>
      </c>
      <c r="U41" s="119">
        <v>2.25</v>
      </c>
      <c r="V41" s="120">
        <v>0.54</v>
      </c>
      <c r="W41" s="120">
        <v>0.5</v>
      </c>
      <c r="X41" s="120">
        <v>1.08</v>
      </c>
      <c r="Y41" s="120">
        <v>0.97</v>
      </c>
      <c r="Z41" s="119">
        <v>1.57</v>
      </c>
      <c r="AA41" s="119">
        <v>1.32</v>
      </c>
      <c r="AB41" s="119">
        <v>0.53</v>
      </c>
      <c r="AC41" s="119">
        <v>0.45</v>
      </c>
      <c r="AD41" s="119">
        <v>3.02</v>
      </c>
      <c r="AE41" s="119">
        <v>2.85</v>
      </c>
      <c r="AF41" s="119"/>
      <c r="AG41" s="119"/>
      <c r="AH41" s="119"/>
      <c r="AI41" s="119"/>
      <c r="AJ41" s="119"/>
      <c r="AK41" s="119"/>
      <c r="AL41" s="119"/>
      <c r="AM41" s="119"/>
      <c r="AN41" s="119"/>
      <c r="AO41" s="119"/>
      <c r="AP41" s="119"/>
      <c r="AQ41" s="119"/>
      <c r="AR41" s="119"/>
      <c r="AS41" s="3"/>
    </row>
    <row r="42" spans="2:45" s="68" customFormat="1" ht="14.4" x14ac:dyDescent="0.3">
      <c r="B42" s="4" t="s">
        <v>133</v>
      </c>
      <c r="C42" s="3">
        <v>0</v>
      </c>
      <c r="D42" s="71"/>
      <c r="E42" s="71"/>
      <c r="F42" s="148">
        <v>3706</v>
      </c>
      <c r="G42" s="119">
        <v>92.5</v>
      </c>
      <c r="H42" s="119">
        <v>37.700000000000003</v>
      </c>
      <c r="I42" s="119">
        <v>18.8</v>
      </c>
      <c r="J42" s="119">
        <v>9.4499999999999993</v>
      </c>
      <c r="K42" s="119">
        <v>5.19</v>
      </c>
      <c r="L42" s="119">
        <v>0.24</v>
      </c>
      <c r="M42" s="119">
        <v>0.53</v>
      </c>
      <c r="N42" s="119">
        <v>0.17</v>
      </c>
      <c r="O42" s="119">
        <v>0.36</v>
      </c>
      <c r="P42" s="119"/>
      <c r="Q42" s="119">
        <v>0.03</v>
      </c>
      <c r="R42" s="119">
        <v>0.28000000000000003</v>
      </c>
      <c r="S42" s="160">
        <f t="shared" si="0"/>
        <v>-65.829761175750164</v>
      </c>
      <c r="T42" s="119">
        <v>2.3199999999999998</v>
      </c>
      <c r="U42" s="119">
        <v>1.89</v>
      </c>
      <c r="V42" s="119">
        <v>0.5</v>
      </c>
      <c r="W42" s="119">
        <v>0.39</v>
      </c>
      <c r="X42" s="119">
        <v>1.08</v>
      </c>
      <c r="Y42" s="119">
        <v>0.82</v>
      </c>
      <c r="Z42" s="119">
        <v>1.44</v>
      </c>
      <c r="AA42" s="119">
        <v>1.1599999999999999</v>
      </c>
      <c r="AB42" s="119">
        <v>0.51</v>
      </c>
      <c r="AC42" s="119">
        <v>0.41</v>
      </c>
      <c r="AD42" s="119">
        <v>2.67</v>
      </c>
      <c r="AE42" s="119">
        <v>2.27</v>
      </c>
      <c r="AF42" s="119"/>
      <c r="AG42" s="119"/>
      <c r="AH42" s="119"/>
      <c r="AI42" s="119"/>
      <c r="AJ42" s="119"/>
      <c r="AK42" s="119"/>
      <c r="AL42" s="119"/>
      <c r="AM42" s="119"/>
      <c r="AN42" s="119"/>
      <c r="AO42" s="119"/>
      <c r="AP42" s="119"/>
      <c r="AQ42" s="119"/>
      <c r="AR42" s="119"/>
      <c r="AS42" s="3"/>
    </row>
    <row r="43" spans="2:45" s="68" customFormat="1" ht="14.4" x14ac:dyDescent="0.3">
      <c r="B43" s="4" t="s">
        <v>123</v>
      </c>
      <c r="C43" s="3">
        <v>1</v>
      </c>
      <c r="D43" s="71"/>
      <c r="E43" s="71"/>
      <c r="F43" s="148">
        <v>3358</v>
      </c>
      <c r="G43" s="119">
        <v>87.1</v>
      </c>
      <c r="H43" s="119">
        <v>8.75</v>
      </c>
      <c r="I43" s="119">
        <v>3.35</v>
      </c>
      <c r="J43" s="119">
        <v>2.6</v>
      </c>
      <c r="K43" s="119">
        <v>2.89</v>
      </c>
      <c r="L43" s="119">
        <v>0.03</v>
      </c>
      <c r="M43" s="119">
        <v>0.23</v>
      </c>
      <c r="N43" s="119">
        <v>7.0000000000000007E-2</v>
      </c>
      <c r="O43" s="119">
        <v>0.16</v>
      </c>
      <c r="P43" s="119"/>
      <c r="Q43" s="119">
        <v>0.02</v>
      </c>
      <c r="R43" s="119">
        <v>0.06</v>
      </c>
      <c r="S43" s="160">
        <f t="shared" si="0"/>
        <v>-8.2057562767911811</v>
      </c>
      <c r="T43" s="119">
        <v>0.2</v>
      </c>
      <c r="U43" s="119">
        <v>0.16</v>
      </c>
      <c r="V43" s="119">
        <v>0.15</v>
      </c>
      <c r="W43" s="119">
        <v>0.13</v>
      </c>
      <c r="X43" s="119">
        <v>0.3</v>
      </c>
      <c r="Y43" s="119">
        <v>0.26</v>
      </c>
      <c r="Z43" s="119">
        <v>0.28000000000000003</v>
      </c>
      <c r="AA43" s="119">
        <v>0.24</v>
      </c>
      <c r="AB43" s="119">
        <v>0.1</v>
      </c>
      <c r="AC43" s="119">
        <v>0.08</v>
      </c>
      <c r="AD43" s="119">
        <v>0.35</v>
      </c>
      <c r="AE43" s="119">
        <v>0.31</v>
      </c>
      <c r="AF43" s="119"/>
      <c r="AG43" s="119"/>
      <c r="AH43" s="119"/>
      <c r="AI43" s="119"/>
      <c r="AJ43" s="119"/>
      <c r="AK43" s="119"/>
      <c r="AL43" s="119"/>
      <c r="AM43" s="119"/>
      <c r="AN43" s="119"/>
      <c r="AO43" s="119"/>
      <c r="AP43" s="119"/>
      <c r="AQ43" s="119"/>
      <c r="AR43" s="119"/>
      <c r="AS43" s="3"/>
    </row>
    <row r="44" spans="2:45" s="68" customFormat="1" ht="14.4" x14ac:dyDescent="0.3">
      <c r="B44" s="4" t="s">
        <v>127</v>
      </c>
      <c r="C44" s="3">
        <v>10</v>
      </c>
      <c r="D44" s="71"/>
      <c r="E44" s="71"/>
      <c r="F44" s="148">
        <v>3371</v>
      </c>
      <c r="G44" s="119">
        <v>95.2</v>
      </c>
      <c r="H44" s="119">
        <v>12.3</v>
      </c>
      <c r="I44" s="119">
        <v>0.93</v>
      </c>
      <c r="J44" s="119">
        <v>0.02</v>
      </c>
      <c r="K44" s="119">
        <v>0</v>
      </c>
      <c r="L44" s="119">
        <v>0.75</v>
      </c>
      <c r="M44" s="119">
        <v>0.68</v>
      </c>
      <c r="N44" s="119">
        <v>0.68</v>
      </c>
      <c r="O44" s="119"/>
      <c r="P44" s="119"/>
      <c r="Q44" s="119">
        <v>0.79</v>
      </c>
      <c r="R44" s="119">
        <v>1.34</v>
      </c>
      <c r="S44" s="160">
        <f t="shared" si="0"/>
        <v>-33.986527862829178</v>
      </c>
      <c r="T44" s="119">
        <v>0.95</v>
      </c>
      <c r="U44" s="119">
        <v>0.87</v>
      </c>
      <c r="V44" s="119">
        <v>0.22</v>
      </c>
      <c r="W44" s="119">
        <v>0.2</v>
      </c>
      <c r="X44" s="119">
        <v>0.44</v>
      </c>
      <c r="Y44" s="119">
        <v>0.39</v>
      </c>
      <c r="Z44" s="119">
        <v>0.72</v>
      </c>
      <c r="AA44" s="119">
        <v>0.62</v>
      </c>
      <c r="AB44" s="119">
        <v>0.19</v>
      </c>
      <c r="AC44" s="119">
        <v>0.16</v>
      </c>
      <c r="AD44" s="119">
        <v>0.35</v>
      </c>
      <c r="AE44" s="119">
        <v>0.32</v>
      </c>
      <c r="AF44" s="119"/>
      <c r="AG44" s="119"/>
      <c r="AH44" s="119"/>
      <c r="AI44" s="119"/>
      <c r="AJ44" s="119"/>
      <c r="AK44" s="119"/>
      <c r="AL44" s="119"/>
      <c r="AM44" s="119"/>
      <c r="AN44" s="119"/>
      <c r="AO44" s="119"/>
      <c r="AP44" s="119"/>
      <c r="AQ44" s="119"/>
      <c r="AR44" s="119"/>
      <c r="AS44" s="3"/>
    </row>
    <row r="45" spans="2:45" s="68" customFormat="1" ht="14.4" x14ac:dyDescent="0.3">
      <c r="B45" s="4" t="s">
        <v>128</v>
      </c>
      <c r="C45" s="6">
        <v>15</v>
      </c>
      <c r="D45" s="71"/>
      <c r="E45" s="71"/>
      <c r="F45" s="148"/>
      <c r="G45" s="119">
        <v>99</v>
      </c>
      <c r="H45" s="119"/>
      <c r="I45" s="119"/>
      <c r="J45" s="119"/>
      <c r="K45" s="119"/>
      <c r="L45" s="119"/>
      <c r="M45" s="119"/>
      <c r="N45" s="119"/>
      <c r="O45" s="119"/>
      <c r="P45" s="119"/>
      <c r="Q45" s="119"/>
      <c r="R45" s="119"/>
      <c r="S45" s="160">
        <f t="shared" si="0"/>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c r="C46" s="3"/>
      <c r="D46" s="71"/>
      <c r="E46" s="71"/>
      <c r="F46" s="148"/>
      <c r="G46" s="119"/>
      <c r="H46" s="119"/>
      <c r="I46" s="119"/>
      <c r="J46" s="119"/>
      <c r="K46" s="119"/>
      <c r="L46" s="119"/>
      <c r="M46" s="119"/>
      <c r="N46" s="119"/>
      <c r="O46" s="119"/>
      <c r="P46" s="119"/>
      <c r="Q46" s="119"/>
      <c r="R46" s="119"/>
      <c r="S46" s="160">
        <f t="shared" si="0"/>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c r="C47" s="6"/>
      <c r="D47" s="71"/>
      <c r="E47" s="71"/>
      <c r="F47" s="148"/>
      <c r="G47" s="119"/>
      <c r="H47" s="119"/>
      <c r="I47" s="119"/>
      <c r="J47" s="119"/>
      <c r="K47" s="119"/>
      <c r="L47" s="119"/>
      <c r="M47" s="119"/>
      <c r="N47" s="119"/>
      <c r="O47" s="119"/>
      <c r="P47" s="119"/>
      <c r="Q47" s="119"/>
      <c r="R47" s="119"/>
      <c r="S47" s="160">
        <f t="shared" si="0"/>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c r="C48" s="3"/>
      <c r="D48" s="71"/>
      <c r="E48" s="71"/>
      <c r="F48" s="148"/>
      <c r="G48" s="119"/>
      <c r="H48" s="119"/>
      <c r="I48" s="119"/>
      <c r="J48" s="119"/>
      <c r="K48" s="119"/>
      <c r="L48" s="119"/>
      <c r="M48" s="119"/>
      <c r="N48" s="119"/>
      <c r="O48" s="119"/>
      <c r="P48" s="119"/>
      <c r="Q48" s="119"/>
      <c r="R48" s="119"/>
      <c r="S48" s="160">
        <f t="shared" si="0"/>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c r="C49" s="3"/>
      <c r="D49" s="71"/>
      <c r="E49" s="71"/>
      <c r="F49" s="148"/>
      <c r="G49" s="119"/>
      <c r="H49" s="119"/>
      <c r="I49" s="119"/>
      <c r="J49" s="119"/>
      <c r="K49" s="119"/>
      <c r="L49" s="119"/>
      <c r="M49" s="119"/>
      <c r="N49" s="119"/>
      <c r="O49" s="119"/>
      <c r="P49" s="119"/>
      <c r="Q49" s="119"/>
      <c r="R49" s="119"/>
      <c r="S49" s="160">
        <f t="shared" si="0"/>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c r="C50" s="3"/>
      <c r="D50" s="71"/>
      <c r="E50" s="71"/>
      <c r="F50" s="148"/>
      <c r="G50" s="119"/>
      <c r="H50" s="119"/>
      <c r="I50" s="119"/>
      <c r="J50" s="119"/>
      <c r="K50" s="119"/>
      <c r="L50" s="119"/>
      <c r="M50" s="119"/>
      <c r="N50" s="119"/>
      <c r="O50" s="119"/>
      <c r="P50" s="119"/>
      <c r="Q50" s="119"/>
      <c r="R50" s="119"/>
      <c r="S50" s="160">
        <f t="shared" si="0"/>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c r="C51" s="3"/>
      <c r="D51" s="71"/>
      <c r="E51" s="71"/>
      <c r="F51" s="149"/>
      <c r="G51" s="120"/>
      <c r="H51" s="120"/>
      <c r="I51" s="120"/>
      <c r="J51" s="120"/>
      <c r="K51" s="120"/>
      <c r="L51" s="120"/>
      <c r="M51" s="120"/>
      <c r="N51" s="120"/>
      <c r="O51" s="120"/>
      <c r="P51" s="120"/>
      <c r="Q51" s="120"/>
      <c r="R51" s="120"/>
      <c r="S51" s="160">
        <f t="shared" si="0"/>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c r="C52" s="3"/>
      <c r="D52" s="71"/>
      <c r="E52" s="71"/>
      <c r="F52" s="148"/>
      <c r="G52" s="119"/>
      <c r="H52" s="119"/>
      <c r="I52" s="119"/>
      <c r="J52" s="119"/>
      <c r="K52" s="119"/>
      <c r="L52" s="119"/>
      <c r="M52" s="119"/>
      <c r="N52" s="119"/>
      <c r="O52" s="119"/>
      <c r="P52" s="119"/>
      <c r="Q52" s="119"/>
      <c r="R52" s="119"/>
      <c r="S52" s="160">
        <f t="shared" si="0"/>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c r="C53" s="3"/>
      <c r="D53" s="71"/>
      <c r="E53" s="71"/>
      <c r="F53" s="148"/>
      <c r="G53" s="119"/>
      <c r="H53" s="119"/>
      <c r="I53" s="119"/>
      <c r="J53" s="119"/>
      <c r="K53" s="119"/>
      <c r="L53" s="119"/>
      <c r="M53" s="119"/>
      <c r="N53" s="119"/>
      <c r="O53" s="119"/>
      <c r="P53" s="119"/>
      <c r="Q53" s="119"/>
      <c r="R53" s="119"/>
      <c r="S53" s="160">
        <f t="shared" si="0"/>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c r="C54" s="3"/>
      <c r="D54" s="71"/>
      <c r="E54" s="71"/>
      <c r="F54" s="148"/>
      <c r="G54" s="119"/>
      <c r="H54" s="119"/>
      <c r="I54" s="119"/>
      <c r="J54" s="119"/>
      <c r="K54" s="119"/>
      <c r="L54" s="119"/>
      <c r="M54" s="119"/>
      <c r="N54" s="119"/>
      <c r="O54" s="119"/>
      <c r="P54" s="119"/>
      <c r="Q54" s="119"/>
      <c r="R54" s="119"/>
      <c r="S54" s="160">
        <f t="shared" si="0"/>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c r="C55" s="3"/>
      <c r="D55" s="71"/>
      <c r="E55" s="71"/>
      <c r="F55" s="148"/>
      <c r="G55" s="119"/>
      <c r="H55" s="119"/>
      <c r="I55" s="119"/>
      <c r="J55" s="119"/>
      <c r="K55" s="119"/>
      <c r="L55" s="119"/>
      <c r="M55" s="119"/>
      <c r="N55" s="119"/>
      <c r="O55" s="119"/>
      <c r="P55" s="119"/>
      <c r="Q55" s="119"/>
      <c r="R55" s="119"/>
      <c r="S55" s="160">
        <f t="shared" si="0"/>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c r="C56" s="3"/>
      <c r="D56" s="71"/>
      <c r="E56" s="71"/>
      <c r="F56" s="148"/>
      <c r="G56" s="119"/>
      <c r="H56" s="119"/>
      <c r="I56" s="119"/>
      <c r="J56" s="119"/>
      <c r="K56" s="119"/>
      <c r="L56" s="119"/>
      <c r="M56" s="119"/>
      <c r="N56" s="119"/>
      <c r="O56" s="119"/>
      <c r="P56" s="119"/>
      <c r="Q56" s="119"/>
      <c r="R56" s="119"/>
      <c r="S56" s="160">
        <f t="shared" si="0"/>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c r="C57" s="3"/>
      <c r="D57" s="71"/>
      <c r="E57" s="71"/>
      <c r="F57" s="148"/>
      <c r="G57" s="119"/>
      <c r="H57" s="119"/>
      <c r="I57" s="119"/>
      <c r="J57" s="119"/>
      <c r="K57" s="119"/>
      <c r="L57" s="119"/>
      <c r="M57" s="119"/>
      <c r="N57" s="119"/>
      <c r="O57" s="119"/>
      <c r="P57" s="119"/>
      <c r="Q57" s="119"/>
      <c r="R57" s="119"/>
      <c r="S57" s="160">
        <f t="shared" si="0"/>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c r="C58" s="3"/>
      <c r="D58" s="71"/>
      <c r="E58" s="71"/>
      <c r="F58" s="148"/>
      <c r="G58" s="119"/>
      <c r="H58" s="119"/>
      <c r="I58" s="119"/>
      <c r="J58" s="119"/>
      <c r="K58" s="119"/>
      <c r="L58" s="119"/>
      <c r="M58" s="119"/>
      <c r="N58" s="119"/>
      <c r="O58" s="119"/>
      <c r="P58" s="119"/>
      <c r="Q58" s="119"/>
      <c r="R58" s="119"/>
      <c r="S58" s="160">
        <f t="shared" si="0"/>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c r="C59" s="3"/>
      <c r="D59" s="71"/>
      <c r="E59" s="71"/>
      <c r="F59" s="148"/>
      <c r="G59" s="119"/>
      <c r="H59" s="119"/>
      <c r="I59" s="119"/>
      <c r="J59" s="119"/>
      <c r="K59" s="119"/>
      <c r="L59" s="119"/>
      <c r="M59" s="119"/>
      <c r="N59" s="119"/>
      <c r="O59" s="119"/>
      <c r="P59" s="119"/>
      <c r="Q59" s="119"/>
      <c r="R59" s="119"/>
      <c r="S59" s="160">
        <f t="shared" si="0"/>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c r="C60" s="3"/>
      <c r="D60" s="71"/>
      <c r="E60" s="71"/>
      <c r="F60" s="148"/>
      <c r="G60" s="119"/>
      <c r="H60" s="119"/>
      <c r="I60" s="119"/>
      <c r="J60" s="119"/>
      <c r="K60" s="119"/>
      <c r="L60" s="119"/>
      <c r="M60" s="119"/>
      <c r="N60" s="119"/>
      <c r="O60" s="119"/>
      <c r="P60" s="119"/>
      <c r="Q60" s="119"/>
      <c r="R60" s="119"/>
      <c r="S60" s="160">
        <f t="shared" si="0"/>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c r="C61" s="3"/>
      <c r="D61" s="71"/>
      <c r="E61" s="71"/>
      <c r="F61" s="148"/>
      <c r="G61" s="119"/>
      <c r="H61" s="119"/>
      <c r="I61" s="119"/>
      <c r="J61" s="119"/>
      <c r="K61" s="119"/>
      <c r="L61" s="119"/>
      <c r="M61" s="119"/>
      <c r="N61" s="119"/>
      <c r="O61" s="119"/>
      <c r="P61" s="119"/>
      <c r="Q61" s="119"/>
      <c r="R61" s="119"/>
      <c r="S61" s="160">
        <f t="shared" si="0"/>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c r="C62" s="3"/>
      <c r="D62" s="71"/>
      <c r="E62" s="71"/>
      <c r="F62" s="148"/>
      <c r="G62" s="119"/>
      <c r="H62" s="119"/>
      <c r="I62" s="119"/>
      <c r="J62" s="119"/>
      <c r="K62" s="119"/>
      <c r="L62" s="119"/>
      <c r="M62" s="119"/>
      <c r="N62" s="119"/>
      <c r="O62" s="119"/>
      <c r="P62" s="119"/>
      <c r="Q62" s="119"/>
      <c r="R62" s="119"/>
      <c r="S62" s="160">
        <f t="shared" si="0"/>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c r="C63" s="3"/>
      <c r="D63" s="71"/>
      <c r="E63" s="71"/>
      <c r="F63" s="148"/>
      <c r="G63" s="119"/>
      <c r="H63" s="119"/>
      <c r="I63" s="119"/>
      <c r="J63" s="119"/>
      <c r="K63" s="119"/>
      <c r="L63" s="119"/>
      <c r="M63" s="119"/>
      <c r="N63" s="119"/>
      <c r="O63" s="119"/>
      <c r="P63" s="119"/>
      <c r="Q63" s="119"/>
      <c r="R63" s="119"/>
      <c r="S63" s="160">
        <f t="shared" si="0"/>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c r="C64" s="3"/>
      <c r="D64" s="71"/>
      <c r="E64" s="71"/>
      <c r="F64" s="148"/>
      <c r="G64" s="119"/>
      <c r="H64" s="119"/>
      <c r="I64" s="119"/>
      <c r="J64" s="119"/>
      <c r="K64" s="119"/>
      <c r="L64" s="119"/>
      <c r="M64" s="119"/>
      <c r="N64" s="119"/>
      <c r="O64" s="119"/>
      <c r="P64" s="119"/>
      <c r="Q64" s="119"/>
      <c r="R64" s="119"/>
      <c r="S64" s="160">
        <f t="shared" si="0"/>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c r="C65" s="3"/>
      <c r="D65" s="71"/>
      <c r="E65" s="71"/>
      <c r="F65" s="148"/>
      <c r="G65" s="119"/>
      <c r="H65" s="119"/>
      <c r="I65" s="119"/>
      <c r="J65" s="119"/>
      <c r="K65" s="119"/>
      <c r="L65" s="119"/>
      <c r="M65" s="119"/>
      <c r="N65" s="119"/>
      <c r="O65" s="119"/>
      <c r="P65" s="119"/>
      <c r="Q65" s="119"/>
      <c r="R65" s="119"/>
      <c r="S65" s="160">
        <f t="shared" si="0"/>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c r="C66" s="3"/>
      <c r="D66" s="71"/>
      <c r="E66" s="71"/>
      <c r="F66" s="148"/>
      <c r="G66" s="119"/>
      <c r="H66" s="119"/>
      <c r="I66" s="119"/>
      <c r="J66" s="119"/>
      <c r="K66" s="119"/>
      <c r="L66" s="119"/>
      <c r="M66" s="119"/>
      <c r="N66" s="119"/>
      <c r="O66" s="119"/>
      <c r="P66" s="119"/>
      <c r="Q66" s="119"/>
      <c r="R66" s="119"/>
      <c r="S66" s="160">
        <f t="shared" si="0"/>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c r="C67" s="3"/>
      <c r="D67" s="71"/>
      <c r="E67" s="71"/>
      <c r="F67" s="148"/>
      <c r="G67" s="119"/>
      <c r="H67" s="119"/>
      <c r="I67" s="119"/>
      <c r="J67" s="119"/>
      <c r="K67" s="119"/>
      <c r="L67" s="119"/>
      <c r="M67" s="119"/>
      <c r="N67" s="119"/>
      <c r="O67" s="119"/>
      <c r="P67" s="119"/>
      <c r="Q67" s="119"/>
      <c r="R67" s="119"/>
      <c r="S67" s="160">
        <f t="shared" si="0"/>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c r="C68" s="3"/>
      <c r="D68" s="71"/>
      <c r="E68" s="71"/>
      <c r="F68" s="148"/>
      <c r="G68" s="119"/>
      <c r="H68" s="119"/>
      <c r="I68" s="119"/>
      <c r="J68" s="119"/>
      <c r="K68" s="119"/>
      <c r="L68" s="119"/>
      <c r="M68" s="119"/>
      <c r="N68" s="119"/>
      <c r="O68" s="119"/>
      <c r="P68" s="119"/>
      <c r="Q68" s="119"/>
      <c r="R68" s="119"/>
      <c r="S68" s="160">
        <f t="shared" si="0"/>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c r="C69" s="3"/>
      <c r="D69" s="71"/>
      <c r="E69" s="71"/>
      <c r="F69" s="148"/>
      <c r="G69" s="119"/>
      <c r="H69" s="119"/>
      <c r="I69" s="119"/>
      <c r="J69" s="119"/>
      <c r="K69" s="119"/>
      <c r="L69" s="119"/>
      <c r="M69" s="119"/>
      <c r="N69" s="119"/>
      <c r="O69" s="119"/>
      <c r="P69" s="119"/>
      <c r="Q69" s="119"/>
      <c r="R69" s="119"/>
      <c r="S69" s="160">
        <f t="shared" si="0"/>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c r="C70" s="3"/>
      <c r="D70" s="71"/>
      <c r="E70" s="71"/>
      <c r="F70" s="148"/>
      <c r="G70" s="119"/>
      <c r="H70" s="119"/>
      <c r="I70" s="119"/>
      <c r="J70" s="119"/>
      <c r="K70" s="119"/>
      <c r="L70" s="119"/>
      <c r="M70" s="119"/>
      <c r="N70" s="119"/>
      <c r="O70" s="119"/>
      <c r="P70" s="119"/>
      <c r="Q70" s="119"/>
      <c r="R70" s="119"/>
      <c r="S70" s="160">
        <f t="shared" si="0"/>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c r="C71" s="3"/>
      <c r="D71" s="71"/>
      <c r="E71" s="71"/>
      <c r="F71" s="148"/>
      <c r="G71" s="119"/>
      <c r="H71" s="119"/>
      <c r="I71" s="119"/>
      <c r="J71" s="119"/>
      <c r="K71" s="119"/>
      <c r="L71" s="119"/>
      <c r="M71" s="119"/>
      <c r="N71" s="119"/>
      <c r="O71" s="119"/>
      <c r="P71" s="119"/>
      <c r="Q71" s="119"/>
      <c r="R71" s="119"/>
      <c r="S71" s="160">
        <f t="shared" ref="S71:S134" si="1">((P71*10000/39.1)+(Q71*10000/23)-(R71*10000/35.5))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c r="C72" s="3"/>
      <c r="D72" s="71"/>
      <c r="E72" s="71"/>
      <c r="F72" s="148"/>
      <c r="G72" s="119"/>
      <c r="H72" s="119"/>
      <c r="I72" s="119"/>
      <c r="J72" s="119"/>
      <c r="K72" s="119"/>
      <c r="L72" s="119"/>
      <c r="M72" s="119"/>
      <c r="N72" s="119"/>
      <c r="O72" s="119"/>
      <c r="P72" s="119"/>
      <c r="Q72" s="119"/>
      <c r="R72" s="119"/>
      <c r="S72" s="160">
        <f t="shared" si="1"/>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c r="C73" s="3"/>
      <c r="D73" s="71"/>
      <c r="E73" s="71"/>
      <c r="F73" s="148"/>
      <c r="G73" s="119"/>
      <c r="H73" s="119"/>
      <c r="I73" s="119"/>
      <c r="J73" s="119"/>
      <c r="K73" s="119"/>
      <c r="L73" s="119"/>
      <c r="M73" s="119"/>
      <c r="N73" s="119"/>
      <c r="O73" s="119"/>
      <c r="P73" s="119"/>
      <c r="Q73" s="119"/>
      <c r="R73" s="119"/>
      <c r="S73" s="160">
        <f t="shared" si="1"/>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c r="C74" s="3"/>
      <c r="D74" s="71"/>
      <c r="E74" s="71"/>
      <c r="F74" s="148"/>
      <c r="G74" s="119"/>
      <c r="H74" s="119"/>
      <c r="I74" s="119"/>
      <c r="J74" s="119"/>
      <c r="K74" s="119"/>
      <c r="L74" s="119"/>
      <c r="M74" s="119"/>
      <c r="N74" s="119"/>
      <c r="O74" s="119"/>
      <c r="P74" s="119"/>
      <c r="Q74" s="119"/>
      <c r="R74" s="119"/>
      <c r="S74" s="160">
        <f t="shared" si="1"/>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c r="C75" s="3"/>
      <c r="D75" s="71"/>
      <c r="E75" s="71"/>
      <c r="F75" s="148"/>
      <c r="G75" s="119"/>
      <c r="H75" s="119"/>
      <c r="I75" s="119"/>
      <c r="J75" s="119"/>
      <c r="K75" s="119"/>
      <c r="L75" s="119"/>
      <c r="M75" s="119"/>
      <c r="N75" s="119"/>
      <c r="O75" s="119"/>
      <c r="P75" s="119"/>
      <c r="Q75" s="119"/>
      <c r="R75" s="119"/>
      <c r="S75" s="160">
        <f t="shared" si="1"/>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c r="C76" s="3"/>
      <c r="D76" s="71"/>
      <c r="E76" s="71"/>
      <c r="F76" s="148"/>
      <c r="G76" s="119"/>
      <c r="H76" s="119"/>
      <c r="I76" s="119"/>
      <c r="J76" s="119"/>
      <c r="K76" s="119"/>
      <c r="L76" s="119"/>
      <c r="M76" s="119"/>
      <c r="N76" s="119"/>
      <c r="O76" s="119"/>
      <c r="P76" s="119"/>
      <c r="Q76" s="119"/>
      <c r="R76" s="119"/>
      <c r="S76" s="160">
        <f t="shared" si="1"/>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c r="C77" s="3"/>
      <c r="D77" s="71"/>
      <c r="E77" s="71"/>
      <c r="F77" s="148"/>
      <c r="G77" s="119"/>
      <c r="H77" s="119"/>
      <c r="I77" s="119"/>
      <c r="J77" s="119"/>
      <c r="K77" s="119"/>
      <c r="L77" s="119"/>
      <c r="M77" s="119"/>
      <c r="N77" s="119"/>
      <c r="O77" s="119"/>
      <c r="P77" s="119"/>
      <c r="Q77" s="119"/>
      <c r="R77" s="119"/>
      <c r="S77" s="160">
        <f t="shared" si="1"/>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c r="C78" s="3"/>
      <c r="D78" s="71"/>
      <c r="E78" s="71"/>
      <c r="F78" s="148"/>
      <c r="G78" s="119"/>
      <c r="H78" s="119"/>
      <c r="I78" s="119"/>
      <c r="J78" s="119"/>
      <c r="K78" s="119"/>
      <c r="L78" s="119"/>
      <c r="M78" s="119"/>
      <c r="N78" s="119"/>
      <c r="O78" s="119"/>
      <c r="P78" s="119"/>
      <c r="Q78" s="119"/>
      <c r="R78" s="119"/>
      <c r="S78" s="160">
        <f t="shared" si="1"/>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c r="C79" s="3"/>
      <c r="D79" s="71"/>
      <c r="E79" s="71"/>
      <c r="F79" s="148"/>
      <c r="G79" s="119"/>
      <c r="H79" s="119"/>
      <c r="I79" s="119"/>
      <c r="J79" s="119"/>
      <c r="K79" s="119"/>
      <c r="L79" s="119"/>
      <c r="M79" s="119"/>
      <c r="N79" s="119"/>
      <c r="O79" s="119"/>
      <c r="P79" s="119"/>
      <c r="Q79" s="119"/>
      <c r="R79" s="119"/>
      <c r="S79" s="160">
        <f t="shared" si="1"/>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c r="C80" s="3"/>
      <c r="D80" s="71"/>
      <c r="E80" s="71"/>
      <c r="F80" s="149"/>
      <c r="G80" s="120"/>
      <c r="H80" s="120"/>
      <c r="I80" s="120"/>
      <c r="J80" s="120"/>
      <c r="K80" s="120"/>
      <c r="L80" s="120"/>
      <c r="M80" s="120"/>
      <c r="N80" s="120"/>
      <c r="O80" s="120"/>
      <c r="P80" s="120"/>
      <c r="Q80" s="120"/>
      <c r="R80" s="120"/>
      <c r="S80" s="160">
        <f t="shared" si="1"/>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c r="C81" s="3"/>
      <c r="D81" s="71"/>
      <c r="E81" s="71"/>
      <c r="F81" s="148"/>
      <c r="G81" s="119"/>
      <c r="H81" s="119"/>
      <c r="I81" s="119"/>
      <c r="J81" s="119"/>
      <c r="K81" s="119"/>
      <c r="L81" s="119"/>
      <c r="M81" s="119"/>
      <c r="N81" s="119"/>
      <c r="O81" s="119"/>
      <c r="P81" s="119"/>
      <c r="Q81" s="119"/>
      <c r="R81" s="119"/>
      <c r="S81" s="160">
        <f t="shared" si="1"/>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c r="C82" s="3"/>
      <c r="D82" s="71"/>
      <c r="E82" s="71"/>
      <c r="F82" s="148"/>
      <c r="G82" s="119"/>
      <c r="H82" s="119"/>
      <c r="I82" s="119"/>
      <c r="J82" s="119"/>
      <c r="K82" s="119"/>
      <c r="L82" s="119"/>
      <c r="M82" s="119"/>
      <c r="N82" s="119"/>
      <c r="O82" s="119"/>
      <c r="P82" s="119"/>
      <c r="Q82" s="119"/>
      <c r="R82" s="119"/>
      <c r="S82" s="160">
        <f t="shared" si="1"/>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c r="C83" s="3"/>
      <c r="D83" s="71"/>
      <c r="E83" s="71"/>
      <c r="F83" s="148"/>
      <c r="G83" s="119"/>
      <c r="H83" s="119"/>
      <c r="I83" s="119"/>
      <c r="J83" s="119"/>
      <c r="K83" s="119"/>
      <c r="L83" s="119"/>
      <c r="M83" s="119"/>
      <c r="N83" s="119"/>
      <c r="O83" s="119"/>
      <c r="P83" s="119"/>
      <c r="Q83" s="119"/>
      <c r="R83" s="119"/>
      <c r="S83" s="160">
        <f t="shared" si="1"/>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c r="C84" s="3"/>
      <c r="D84" s="71"/>
      <c r="E84" s="71"/>
      <c r="F84" s="148"/>
      <c r="G84" s="119"/>
      <c r="H84" s="119"/>
      <c r="I84" s="119"/>
      <c r="J84" s="119"/>
      <c r="K84" s="119"/>
      <c r="L84" s="119"/>
      <c r="M84" s="119"/>
      <c r="N84" s="119"/>
      <c r="O84" s="119"/>
      <c r="P84" s="119"/>
      <c r="Q84" s="119"/>
      <c r="R84" s="119"/>
      <c r="S84" s="160">
        <f t="shared" si="1"/>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c r="C85" s="3"/>
      <c r="D85" s="71"/>
      <c r="E85" s="71"/>
      <c r="F85" s="148"/>
      <c r="G85" s="119"/>
      <c r="H85" s="119"/>
      <c r="I85" s="119"/>
      <c r="J85" s="119"/>
      <c r="K85" s="119"/>
      <c r="L85" s="119"/>
      <c r="M85" s="119"/>
      <c r="N85" s="119"/>
      <c r="O85" s="119"/>
      <c r="P85" s="119"/>
      <c r="Q85" s="119"/>
      <c r="R85" s="119"/>
      <c r="S85" s="160">
        <f t="shared" si="1"/>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c r="C86" s="3"/>
      <c r="D86" s="71"/>
      <c r="E86" s="71"/>
      <c r="F86" s="148"/>
      <c r="G86" s="119"/>
      <c r="H86" s="119"/>
      <c r="I86" s="119"/>
      <c r="J86" s="119"/>
      <c r="K86" s="119"/>
      <c r="L86" s="119"/>
      <c r="M86" s="119"/>
      <c r="N86" s="119"/>
      <c r="O86" s="119"/>
      <c r="P86" s="119"/>
      <c r="Q86" s="119"/>
      <c r="R86" s="119"/>
      <c r="S86" s="160">
        <f t="shared" si="1"/>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c r="C87" s="3"/>
      <c r="D87" s="71"/>
      <c r="E87" s="71"/>
      <c r="F87" s="148"/>
      <c r="G87" s="119"/>
      <c r="H87" s="119"/>
      <c r="I87" s="119"/>
      <c r="J87" s="119"/>
      <c r="K87" s="119"/>
      <c r="L87" s="119"/>
      <c r="M87" s="119"/>
      <c r="N87" s="119"/>
      <c r="O87" s="119"/>
      <c r="P87" s="119"/>
      <c r="Q87" s="119"/>
      <c r="R87" s="119"/>
      <c r="S87" s="160">
        <f t="shared" si="1"/>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c r="C88" s="3"/>
      <c r="D88" s="71"/>
      <c r="E88" s="71"/>
      <c r="F88" s="148"/>
      <c r="G88" s="119"/>
      <c r="H88" s="119"/>
      <c r="I88" s="119"/>
      <c r="J88" s="119"/>
      <c r="K88" s="119"/>
      <c r="L88" s="119"/>
      <c r="M88" s="119"/>
      <c r="N88" s="119"/>
      <c r="O88" s="119"/>
      <c r="P88" s="119"/>
      <c r="Q88" s="119"/>
      <c r="R88" s="119"/>
      <c r="S88" s="160">
        <f t="shared" si="1"/>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c r="C89" s="3"/>
      <c r="D89" s="71"/>
      <c r="E89" s="71"/>
      <c r="F89" s="148"/>
      <c r="G89" s="119"/>
      <c r="H89" s="119"/>
      <c r="I89" s="119"/>
      <c r="J89" s="119"/>
      <c r="K89" s="119"/>
      <c r="L89" s="119"/>
      <c r="M89" s="119"/>
      <c r="N89" s="119"/>
      <c r="O89" s="119"/>
      <c r="P89" s="119"/>
      <c r="Q89" s="119"/>
      <c r="R89" s="119"/>
      <c r="S89" s="160">
        <f t="shared" si="1"/>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c r="C90" s="3"/>
      <c r="D90" s="71"/>
      <c r="E90" s="71"/>
      <c r="F90" s="148"/>
      <c r="G90" s="119"/>
      <c r="H90" s="119"/>
      <c r="I90" s="119"/>
      <c r="J90" s="119"/>
      <c r="K90" s="119"/>
      <c r="L90" s="119"/>
      <c r="M90" s="119"/>
      <c r="N90" s="119"/>
      <c r="O90" s="119"/>
      <c r="P90" s="119"/>
      <c r="Q90" s="119"/>
      <c r="R90" s="119"/>
      <c r="S90" s="160">
        <f t="shared" si="1"/>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c r="C91" s="3"/>
      <c r="D91" s="71"/>
      <c r="E91" s="71"/>
      <c r="F91" s="148"/>
      <c r="G91" s="119"/>
      <c r="H91" s="119"/>
      <c r="I91" s="119"/>
      <c r="J91" s="119"/>
      <c r="K91" s="119"/>
      <c r="L91" s="119"/>
      <c r="M91" s="119"/>
      <c r="N91" s="119"/>
      <c r="O91" s="119"/>
      <c r="P91" s="119"/>
      <c r="Q91" s="119"/>
      <c r="R91" s="119"/>
      <c r="S91" s="160">
        <f t="shared" si="1"/>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c r="C92" s="3"/>
      <c r="D92" s="71"/>
      <c r="E92" s="71"/>
      <c r="F92" s="148"/>
      <c r="G92" s="119"/>
      <c r="H92" s="119"/>
      <c r="I92" s="119"/>
      <c r="J92" s="119"/>
      <c r="K92" s="119"/>
      <c r="L92" s="119"/>
      <c r="M92" s="119"/>
      <c r="N92" s="119"/>
      <c r="O92" s="119"/>
      <c r="P92" s="119"/>
      <c r="Q92" s="119"/>
      <c r="R92" s="119"/>
      <c r="S92" s="160">
        <f t="shared" si="1"/>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c r="C93" s="3"/>
      <c r="D93" s="71"/>
      <c r="E93" s="71"/>
      <c r="F93" s="148"/>
      <c r="G93" s="119"/>
      <c r="H93" s="119"/>
      <c r="I93" s="119"/>
      <c r="J93" s="119"/>
      <c r="K93" s="119"/>
      <c r="L93" s="119"/>
      <c r="M93" s="119"/>
      <c r="N93" s="119"/>
      <c r="O93" s="119"/>
      <c r="P93" s="119"/>
      <c r="Q93" s="119"/>
      <c r="R93" s="119"/>
      <c r="S93" s="160">
        <f t="shared" si="1"/>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c r="C94" s="3"/>
      <c r="D94" s="71"/>
      <c r="E94" s="71"/>
      <c r="F94" s="148"/>
      <c r="G94" s="119"/>
      <c r="H94" s="119"/>
      <c r="I94" s="119"/>
      <c r="J94" s="119"/>
      <c r="K94" s="119"/>
      <c r="L94" s="119"/>
      <c r="M94" s="119"/>
      <c r="N94" s="119"/>
      <c r="O94" s="119"/>
      <c r="P94" s="119"/>
      <c r="Q94" s="119"/>
      <c r="R94" s="119"/>
      <c r="S94" s="160">
        <f t="shared" si="1"/>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c r="C95" s="3"/>
      <c r="D95" s="71"/>
      <c r="E95" s="71"/>
      <c r="F95" s="148"/>
      <c r="G95" s="119"/>
      <c r="H95" s="119"/>
      <c r="I95" s="119"/>
      <c r="J95" s="119"/>
      <c r="K95" s="119"/>
      <c r="L95" s="119"/>
      <c r="M95" s="119"/>
      <c r="N95" s="119"/>
      <c r="O95" s="119"/>
      <c r="P95" s="119"/>
      <c r="Q95" s="119"/>
      <c r="R95" s="119"/>
      <c r="S95" s="160">
        <f t="shared" si="1"/>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c r="C96" s="3"/>
      <c r="D96" s="71"/>
      <c r="E96" s="71"/>
      <c r="F96" s="148"/>
      <c r="G96" s="119"/>
      <c r="H96" s="119"/>
      <c r="I96" s="119"/>
      <c r="J96" s="119"/>
      <c r="K96" s="119"/>
      <c r="L96" s="119"/>
      <c r="M96" s="119"/>
      <c r="N96" s="119"/>
      <c r="O96" s="119"/>
      <c r="P96" s="119"/>
      <c r="Q96" s="119"/>
      <c r="R96" s="119"/>
      <c r="S96" s="160">
        <f t="shared" si="1"/>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c r="C97" s="3"/>
      <c r="D97" s="71"/>
      <c r="E97" s="71"/>
      <c r="F97" s="148"/>
      <c r="G97" s="119"/>
      <c r="H97" s="119"/>
      <c r="I97" s="119"/>
      <c r="J97" s="119"/>
      <c r="K97" s="119"/>
      <c r="L97" s="119"/>
      <c r="M97" s="119"/>
      <c r="N97" s="119"/>
      <c r="O97" s="119"/>
      <c r="P97" s="119"/>
      <c r="Q97" s="119"/>
      <c r="R97" s="119"/>
      <c r="S97" s="160">
        <f t="shared" si="1"/>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c r="C98" s="3"/>
      <c r="D98" s="71"/>
      <c r="E98" s="71"/>
      <c r="F98" s="148"/>
      <c r="G98" s="119"/>
      <c r="H98" s="119"/>
      <c r="I98" s="119"/>
      <c r="J98" s="119"/>
      <c r="K98" s="119"/>
      <c r="L98" s="119"/>
      <c r="M98" s="119"/>
      <c r="N98" s="119"/>
      <c r="O98" s="119"/>
      <c r="P98" s="119"/>
      <c r="Q98" s="119"/>
      <c r="R98" s="119"/>
      <c r="S98" s="160">
        <f t="shared" si="1"/>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c r="C99" s="3"/>
      <c r="D99" s="71"/>
      <c r="E99" s="71"/>
      <c r="F99" s="148"/>
      <c r="G99" s="119"/>
      <c r="H99" s="119"/>
      <c r="I99" s="119"/>
      <c r="J99" s="119"/>
      <c r="K99" s="119"/>
      <c r="L99" s="119"/>
      <c r="M99" s="119"/>
      <c r="N99" s="119"/>
      <c r="O99" s="119"/>
      <c r="P99" s="119"/>
      <c r="Q99" s="119"/>
      <c r="R99" s="119"/>
      <c r="S99" s="160">
        <f t="shared" si="1"/>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c r="C100" s="3"/>
      <c r="D100" s="71"/>
      <c r="E100" s="71"/>
      <c r="F100" s="148"/>
      <c r="G100" s="119"/>
      <c r="H100" s="119"/>
      <c r="I100" s="119"/>
      <c r="J100" s="119"/>
      <c r="K100" s="119"/>
      <c r="L100" s="119"/>
      <c r="M100" s="119"/>
      <c r="N100" s="119"/>
      <c r="O100" s="119"/>
      <c r="P100" s="119"/>
      <c r="Q100" s="119"/>
      <c r="R100" s="119"/>
      <c r="S100" s="160">
        <f t="shared" si="1"/>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c r="C101" s="3"/>
      <c r="D101" s="71"/>
      <c r="E101" s="71"/>
      <c r="F101" s="148"/>
      <c r="G101" s="119"/>
      <c r="H101" s="119"/>
      <c r="I101" s="119"/>
      <c r="J101" s="119"/>
      <c r="K101" s="119"/>
      <c r="L101" s="119"/>
      <c r="M101" s="119"/>
      <c r="N101" s="119"/>
      <c r="O101" s="119"/>
      <c r="P101" s="119"/>
      <c r="Q101" s="119"/>
      <c r="R101" s="119"/>
      <c r="S101" s="160">
        <f t="shared" si="1"/>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c r="C102" s="3"/>
      <c r="D102" s="71"/>
      <c r="E102" s="71"/>
      <c r="F102" s="148"/>
      <c r="G102" s="119"/>
      <c r="H102" s="119"/>
      <c r="I102" s="119"/>
      <c r="J102" s="119"/>
      <c r="K102" s="119"/>
      <c r="L102" s="119"/>
      <c r="M102" s="119"/>
      <c r="N102" s="119"/>
      <c r="O102" s="119"/>
      <c r="P102" s="119"/>
      <c r="Q102" s="119"/>
      <c r="R102" s="119"/>
      <c r="S102" s="160">
        <f t="shared" si="1"/>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c r="C103" s="3"/>
      <c r="D103" s="71"/>
      <c r="E103" s="71"/>
      <c r="F103" s="148"/>
      <c r="G103" s="119"/>
      <c r="H103" s="119"/>
      <c r="I103" s="119"/>
      <c r="J103" s="119"/>
      <c r="K103" s="119"/>
      <c r="L103" s="119"/>
      <c r="M103" s="119"/>
      <c r="N103" s="119"/>
      <c r="O103" s="119"/>
      <c r="P103" s="119"/>
      <c r="Q103" s="119"/>
      <c r="R103" s="119"/>
      <c r="S103" s="160">
        <f t="shared" si="1"/>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c r="C104" s="3"/>
      <c r="D104" s="71"/>
      <c r="E104" s="71"/>
      <c r="F104" s="148"/>
      <c r="G104" s="119"/>
      <c r="H104" s="119"/>
      <c r="I104" s="119"/>
      <c r="J104" s="119"/>
      <c r="K104" s="119"/>
      <c r="L104" s="119"/>
      <c r="M104" s="119"/>
      <c r="N104" s="119"/>
      <c r="O104" s="119"/>
      <c r="P104" s="119"/>
      <c r="Q104" s="119"/>
      <c r="R104" s="119"/>
      <c r="S104" s="160">
        <f t="shared" si="1"/>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c r="C105" s="3"/>
      <c r="D105" s="71"/>
      <c r="E105" s="71"/>
      <c r="F105" s="148"/>
      <c r="G105" s="119"/>
      <c r="H105" s="119"/>
      <c r="I105" s="119"/>
      <c r="J105" s="119"/>
      <c r="K105" s="119"/>
      <c r="L105" s="119"/>
      <c r="M105" s="119"/>
      <c r="N105" s="119"/>
      <c r="O105" s="119"/>
      <c r="P105" s="119"/>
      <c r="Q105" s="119"/>
      <c r="R105" s="119"/>
      <c r="S105" s="160">
        <f t="shared" si="1"/>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c r="C106" s="3"/>
      <c r="D106" s="71"/>
      <c r="E106" s="71"/>
      <c r="F106" s="148"/>
      <c r="G106" s="119"/>
      <c r="H106" s="119"/>
      <c r="I106" s="119"/>
      <c r="J106" s="119"/>
      <c r="K106" s="119"/>
      <c r="L106" s="119"/>
      <c r="M106" s="119"/>
      <c r="N106" s="119"/>
      <c r="O106" s="119"/>
      <c r="P106" s="119"/>
      <c r="Q106" s="119"/>
      <c r="R106" s="119"/>
      <c r="S106" s="160">
        <f t="shared" si="1"/>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c r="C107" s="3"/>
      <c r="D107" s="71"/>
      <c r="E107" s="71"/>
      <c r="F107" s="148"/>
      <c r="G107" s="119"/>
      <c r="H107" s="119"/>
      <c r="I107" s="119"/>
      <c r="J107" s="119"/>
      <c r="K107" s="119"/>
      <c r="L107" s="119"/>
      <c r="M107" s="119"/>
      <c r="N107" s="119"/>
      <c r="O107" s="119"/>
      <c r="P107" s="119"/>
      <c r="Q107" s="119"/>
      <c r="R107" s="119"/>
      <c r="S107" s="160">
        <f t="shared" si="1"/>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c r="C108" s="3"/>
      <c r="D108" s="71"/>
      <c r="E108" s="71"/>
      <c r="F108" s="148"/>
      <c r="G108" s="119"/>
      <c r="H108" s="119"/>
      <c r="I108" s="119"/>
      <c r="J108" s="119"/>
      <c r="K108" s="119"/>
      <c r="L108" s="119"/>
      <c r="M108" s="119"/>
      <c r="N108" s="119"/>
      <c r="O108" s="119"/>
      <c r="P108" s="119"/>
      <c r="Q108" s="119"/>
      <c r="R108" s="119"/>
      <c r="S108" s="160">
        <f t="shared" si="1"/>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c r="C109" s="3"/>
      <c r="D109" s="71"/>
      <c r="E109" s="71"/>
      <c r="F109" s="148"/>
      <c r="G109" s="119"/>
      <c r="H109" s="119"/>
      <c r="I109" s="119"/>
      <c r="J109" s="119"/>
      <c r="K109" s="119"/>
      <c r="L109" s="119"/>
      <c r="M109" s="119"/>
      <c r="N109" s="119"/>
      <c r="O109" s="119"/>
      <c r="P109" s="119"/>
      <c r="Q109" s="119"/>
      <c r="R109" s="119"/>
      <c r="S109" s="160">
        <f t="shared" si="1"/>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c r="C110" s="3"/>
      <c r="D110" s="71"/>
      <c r="E110" s="71"/>
      <c r="F110" s="148"/>
      <c r="G110" s="119"/>
      <c r="H110" s="119"/>
      <c r="I110" s="119"/>
      <c r="J110" s="119"/>
      <c r="K110" s="119"/>
      <c r="L110" s="119"/>
      <c r="M110" s="119"/>
      <c r="N110" s="119"/>
      <c r="O110" s="119"/>
      <c r="P110" s="119"/>
      <c r="Q110" s="119"/>
      <c r="R110" s="119"/>
      <c r="S110" s="160">
        <f t="shared" si="1"/>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c r="C111" s="3"/>
      <c r="D111" s="71"/>
      <c r="E111" s="71"/>
      <c r="F111" s="148"/>
      <c r="G111" s="119"/>
      <c r="H111" s="119"/>
      <c r="I111" s="119"/>
      <c r="J111" s="119"/>
      <c r="K111" s="119"/>
      <c r="L111" s="119"/>
      <c r="M111" s="119"/>
      <c r="N111" s="119"/>
      <c r="O111" s="119"/>
      <c r="P111" s="119"/>
      <c r="Q111" s="119"/>
      <c r="R111" s="119"/>
      <c r="S111" s="160">
        <f t="shared" si="1"/>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c r="C112" s="3"/>
      <c r="D112" s="71"/>
      <c r="E112" s="71"/>
      <c r="F112" s="148"/>
      <c r="G112" s="119"/>
      <c r="H112" s="119"/>
      <c r="I112" s="119"/>
      <c r="J112" s="119"/>
      <c r="K112" s="119"/>
      <c r="L112" s="119"/>
      <c r="M112" s="119"/>
      <c r="N112" s="119"/>
      <c r="O112" s="119"/>
      <c r="P112" s="119"/>
      <c r="Q112" s="119"/>
      <c r="R112" s="119"/>
      <c r="S112" s="160">
        <f t="shared" si="1"/>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c r="C113" s="3"/>
      <c r="D113" s="71"/>
      <c r="E113" s="71"/>
      <c r="F113" s="148"/>
      <c r="G113" s="119"/>
      <c r="H113" s="119"/>
      <c r="I113" s="119"/>
      <c r="J113" s="119"/>
      <c r="K113" s="119"/>
      <c r="L113" s="119"/>
      <c r="M113" s="119"/>
      <c r="N113" s="119"/>
      <c r="O113" s="119"/>
      <c r="P113" s="119"/>
      <c r="Q113" s="119"/>
      <c r="R113" s="119"/>
      <c r="S113" s="160">
        <f t="shared" si="1"/>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c r="C114" s="3"/>
      <c r="D114" s="71"/>
      <c r="E114" s="71"/>
      <c r="F114" s="148"/>
      <c r="G114" s="119"/>
      <c r="H114" s="119"/>
      <c r="I114" s="119"/>
      <c r="J114" s="119"/>
      <c r="K114" s="119"/>
      <c r="L114" s="119"/>
      <c r="M114" s="119"/>
      <c r="N114" s="119"/>
      <c r="O114" s="119"/>
      <c r="P114" s="119"/>
      <c r="Q114" s="119"/>
      <c r="R114" s="119"/>
      <c r="S114" s="160">
        <f t="shared" si="1"/>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c r="C115" s="3"/>
      <c r="D115" s="71"/>
      <c r="E115" s="71"/>
      <c r="F115" s="148"/>
      <c r="G115" s="119"/>
      <c r="H115" s="119"/>
      <c r="I115" s="119"/>
      <c r="J115" s="119"/>
      <c r="K115" s="119"/>
      <c r="L115" s="119"/>
      <c r="M115" s="119"/>
      <c r="N115" s="119"/>
      <c r="O115" s="119"/>
      <c r="P115" s="119"/>
      <c r="Q115" s="119"/>
      <c r="R115" s="119"/>
      <c r="S115" s="160">
        <f t="shared" si="1"/>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c r="C116" s="3"/>
      <c r="D116" s="71"/>
      <c r="E116" s="71"/>
      <c r="F116" s="148"/>
      <c r="G116" s="119"/>
      <c r="H116" s="119"/>
      <c r="I116" s="119"/>
      <c r="J116" s="119"/>
      <c r="K116" s="119"/>
      <c r="L116" s="119"/>
      <c r="M116" s="119"/>
      <c r="N116" s="119"/>
      <c r="O116" s="119"/>
      <c r="P116" s="119"/>
      <c r="Q116" s="119"/>
      <c r="R116" s="119"/>
      <c r="S116" s="160">
        <f t="shared" si="1"/>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c r="C117" s="3"/>
      <c r="D117" s="71"/>
      <c r="E117" s="71"/>
      <c r="F117" s="148"/>
      <c r="G117" s="119"/>
      <c r="H117" s="119"/>
      <c r="I117" s="119"/>
      <c r="J117" s="119"/>
      <c r="K117" s="119"/>
      <c r="L117" s="119"/>
      <c r="M117" s="119"/>
      <c r="N117" s="119"/>
      <c r="O117" s="119"/>
      <c r="P117" s="119"/>
      <c r="Q117" s="119"/>
      <c r="R117" s="119"/>
      <c r="S117" s="160">
        <f t="shared" si="1"/>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c r="C118" s="3"/>
      <c r="D118" s="71"/>
      <c r="E118" s="71"/>
      <c r="F118" s="148"/>
      <c r="G118" s="119"/>
      <c r="H118" s="119"/>
      <c r="I118" s="119"/>
      <c r="J118" s="119"/>
      <c r="K118" s="119"/>
      <c r="L118" s="119"/>
      <c r="M118" s="119"/>
      <c r="N118" s="119"/>
      <c r="O118" s="119"/>
      <c r="P118" s="119"/>
      <c r="Q118" s="119"/>
      <c r="R118" s="119"/>
      <c r="S118" s="160">
        <f t="shared" si="1"/>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c r="C119" s="3"/>
      <c r="D119" s="71"/>
      <c r="E119" s="71"/>
      <c r="F119" s="148"/>
      <c r="G119" s="119"/>
      <c r="H119" s="119"/>
      <c r="I119" s="119"/>
      <c r="J119" s="119"/>
      <c r="K119" s="119"/>
      <c r="L119" s="119"/>
      <c r="M119" s="119"/>
      <c r="N119" s="119"/>
      <c r="O119" s="119"/>
      <c r="P119" s="119"/>
      <c r="Q119" s="119"/>
      <c r="R119" s="119"/>
      <c r="S119" s="160">
        <f t="shared" si="1"/>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c r="C120" s="3"/>
      <c r="D120" s="71"/>
      <c r="E120" s="71"/>
      <c r="F120" s="148"/>
      <c r="G120" s="119"/>
      <c r="H120" s="119"/>
      <c r="I120" s="119"/>
      <c r="J120" s="119"/>
      <c r="K120" s="119"/>
      <c r="L120" s="119"/>
      <c r="M120" s="119"/>
      <c r="N120" s="119"/>
      <c r="O120" s="119"/>
      <c r="P120" s="119"/>
      <c r="Q120" s="119"/>
      <c r="R120" s="119"/>
      <c r="S120" s="160">
        <f t="shared" si="1"/>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c r="C121" s="3"/>
      <c r="D121" s="71"/>
      <c r="E121" s="71"/>
      <c r="F121" s="148"/>
      <c r="G121" s="119"/>
      <c r="H121" s="119"/>
      <c r="I121" s="119"/>
      <c r="J121" s="119"/>
      <c r="K121" s="119"/>
      <c r="L121" s="119"/>
      <c r="M121" s="119"/>
      <c r="N121" s="119"/>
      <c r="O121" s="119"/>
      <c r="P121" s="119"/>
      <c r="Q121" s="119"/>
      <c r="R121" s="119"/>
      <c r="S121" s="160">
        <f t="shared" si="1"/>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c r="C122" s="3"/>
      <c r="D122" s="71"/>
      <c r="E122" s="71"/>
      <c r="F122" s="148"/>
      <c r="G122" s="119"/>
      <c r="H122" s="119"/>
      <c r="I122" s="119"/>
      <c r="J122" s="119"/>
      <c r="K122" s="119"/>
      <c r="L122" s="119"/>
      <c r="M122" s="119"/>
      <c r="N122" s="119"/>
      <c r="O122" s="119"/>
      <c r="P122" s="119"/>
      <c r="Q122" s="119"/>
      <c r="R122" s="119"/>
      <c r="S122" s="160">
        <f t="shared" si="1"/>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c r="C123" s="3"/>
      <c r="D123" s="71"/>
      <c r="E123" s="71"/>
      <c r="F123" s="148"/>
      <c r="G123" s="119"/>
      <c r="H123" s="119"/>
      <c r="I123" s="119"/>
      <c r="J123" s="119"/>
      <c r="K123" s="119"/>
      <c r="L123" s="119"/>
      <c r="M123" s="119"/>
      <c r="N123" s="119"/>
      <c r="O123" s="119"/>
      <c r="P123" s="119"/>
      <c r="Q123" s="119"/>
      <c r="R123" s="119"/>
      <c r="S123" s="160">
        <f t="shared" si="1"/>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c r="C124" s="3"/>
      <c r="D124" s="71"/>
      <c r="E124" s="71"/>
      <c r="F124" s="148"/>
      <c r="G124" s="119"/>
      <c r="H124" s="119"/>
      <c r="I124" s="119"/>
      <c r="J124" s="119"/>
      <c r="K124" s="119"/>
      <c r="L124" s="119"/>
      <c r="M124" s="119"/>
      <c r="N124" s="119"/>
      <c r="O124" s="119"/>
      <c r="P124" s="119"/>
      <c r="Q124" s="119"/>
      <c r="R124" s="119"/>
      <c r="S124" s="160">
        <f t="shared" si="1"/>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c r="C125" s="3"/>
      <c r="D125" s="71"/>
      <c r="E125" s="71"/>
      <c r="F125" s="148"/>
      <c r="G125" s="119"/>
      <c r="H125" s="119"/>
      <c r="I125" s="119"/>
      <c r="J125" s="119"/>
      <c r="K125" s="119"/>
      <c r="L125" s="119"/>
      <c r="M125" s="119"/>
      <c r="N125" s="119"/>
      <c r="O125" s="119"/>
      <c r="P125" s="119"/>
      <c r="Q125" s="119"/>
      <c r="R125" s="119"/>
      <c r="S125" s="160">
        <f t="shared" si="1"/>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c r="C126" s="3"/>
      <c r="D126" s="71"/>
      <c r="E126" s="71"/>
      <c r="F126" s="148"/>
      <c r="G126" s="119"/>
      <c r="H126" s="119"/>
      <c r="I126" s="119"/>
      <c r="J126" s="119"/>
      <c r="K126" s="119"/>
      <c r="L126" s="119"/>
      <c r="M126" s="119"/>
      <c r="N126" s="119"/>
      <c r="O126" s="119"/>
      <c r="P126" s="119"/>
      <c r="Q126" s="119"/>
      <c r="R126" s="119"/>
      <c r="S126" s="160">
        <f t="shared" si="1"/>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c r="C127" s="3"/>
      <c r="D127" s="71"/>
      <c r="E127" s="71"/>
      <c r="F127" s="148"/>
      <c r="G127" s="119"/>
      <c r="H127" s="119"/>
      <c r="I127" s="119"/>
      <c r="J127" s="119"/>
      <c r="K127" s="119"/>
      <c r="L127" s="119"/>
      <c r="M127" s="119"/>
      <c r="N127" s="119"/>
      <c r="O127" s="119"/>
      <c r="P127" s="119"/>
      <c r="Q127" s="119"/>
      <c r="R127" s="119"/>
      <c r="S127" s="160">
        <f t="shared" si="1"/>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c r="C128" s="3"/>
      <c r="D128" s="71"/>
      <c r="E128" s="71"/>
      <c r="F128" s="148"/>
      <c r="G128" s="119"/>
      <c r="H128" s="119"/>
      <c r="I128" s="119"/>
      <c r="J128" s="119"/>
      <c r="K128" s="119"/>
      <c r="L128" s="119"/>
      <c r="M128" s="119"/>
      <c r="N128" s="119"/>
      <c r="O128" s="119"/>
      <c r="P128" s="119"/>
      <c r="Q128" s="119"/>
      <c r="R128" s="119"/>
      <c r="S128" s="160">
        <f t="shared" si="1"/>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c r="C129" s="3"/>
      <c r="D129" s="71"/>
      <c r="E129" s="71"/>
      <c r="F129" s="148"/>
      <c r="G129" s="119"/>
      <c r="H129" s="119"/>
      <c r="I129" s="119"/>
      <c r="J129" s="119"/>
      <c r="K129" s="119"/>
      <c r="L129" s="119"/>
      <c r="M129" s="119"/>
      <c r="N129" s="119"/>
      <c r="O129" s="119"/>
      <c r="P129" s="119"/>
      <c r="Q129" s="119"/>
      <c r="R129" s="119"/>
      <c r="S129" s="160">
        <f t="shared" si="1"/>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c r="C130" s="3"/>
      <c r="D130" s="71"/>
      <c r="E130" s="71"/>
      <c r="F130" s="148"/>
      <c r="G130" s="119"/>
      <c r="H130" s="119"/>
      <c r="I130" s="119"/>
      <c r="J130" s="119"/>
      <c r="K130" s="119"/>
      <c r="L130" s="119"/>
      <c r="M130" s="119"/>
      <c r="N130" s="119"/>
      <c r="O130" s="119"/>
      <c r="P130" s="119"/>
      <c r="Q130" s="119"/>
      <c r="R130" s="119"/>
      <c r="S130" s="160">
        <f t="shared" si="1"/>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c r="C131" s="3"/>
      <c r="D131" s="71"/>
      <c r="E131" s="71"/>
      <c r="F131" s="148"/>
      <c r="G131" s="119"/>
      <c r="H131" s="119"/>
      <c r="I131" s="119"/>
      <c r="J131" s="119"/>
      <c r="K131" s="119"/>
      <c r="L131" s="119"/>
      <c r="M131" s="119"/>
      <c r="N131" s="119"/>
      <c r="O131" s="119"/>
      <c r="P131" s="119"/>
      <c r="Q131" s="119"/>
      <c r="R131" s="119"/>
      <c r="S131" s="160">
        <f t="shared" si="1"/>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c r="C132" s="3"/>
      <c r="D132" s="71"/>
      <c r="E132" s="71"/>
      <c r="F132" s="148"/>
      <c r="G132" s="119"/>
      <c r="H132" s="119"/>
      <c r="I132" s="119"/>
      <c r="J132" s="119"/>
      <c r="K132" s="119"/>
      <c r="L132" s="119"/>
      <c r="M132" s="119"/>
      <c r="N132" s="119"/>
      <c r="O132" s="119"/>
      <c r="P132" s="119"/>
      <c r="Q132" s="119"/>
      <c r="R132" s="119"/>
      <c r="S132" s="160">
        <f t="shared" si="1"/>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c r="C133" s="3"/>
      <c r="D133" s="71"/>
      <c r="E133" s="71"/>
      <c r="F133" s="148"/>
      <c r="G133" s="119"/>
      <c r="H133" s="119"/>
      <c r="I133" s="119"/>
      <c r="J133" s="119"/>
      <c r="K133" s="119"/>
      <c r="L133" s="119"/>
      <c r="M133" s="119"/>
      <c r="N133" s="119"/>
      <c r="O133" s="119"/>
      <c r="P133" s="119"/>
      <c r="Q133" s="119"/>
      <c r="R133" s="119"/>
      <c r="S133" s="160">
        <f t="shared" si="1"/>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c r="C134" s="3"/>
      <c r="D134" s="71"/>
      <c r="E134" s="71"/>
      <c r="F134" s="148"/>
      <c r="G134" s="119"/>
      <c r="H134" s="119"/>
      <c r="I134" s="119"/>
      <c r="J134" s="119"/>
      <c r="K134" s="119"/>
      <c r="L134" s="119"/>
      <c r="M134" s="119"/>
      <c r="N134" s="119"/>
      <c r="O134" s="119"/>
      <c r="P134" s="119"/>
      <c r="Q134" s="119"/>
      <c r="R134" s="119"/>
      <c r="S134" s="160">
        <f t="shared" si="1"/>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c r="C135" s="3"/>
      <c r="D135" s="71"/>
      <c r="E135" s="71"/>
      <c r="F135" s="148"/>
      <c r="G135" s="119"/>
      <c r="H135" s="119"/>
      <c r="I135" s="119"/>
      <c r="J135" s="119"/>
      <c r="K135" s="119"/>
      <c r="L135" s="119"/>
      <c r="M135" s="119"/>
      <c r="N135" s="119"/>
      <c r="O135" s="119"/>
      <c r="P135" s="119"/>
      <c r="Q135" s="119"/>
      <c r="R135" s="119"/>
      <c r="S135" s="160">
        <f t="shared" ref="S135:S198" si="2">((P135*10000/39.1)+(Q135*10000/23)-(R135*10000/35.5))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c r="C136" s="3"/>
      <c r="D136" s="71"/>
      <c r="E136" s="71"/>
      <c r="F136" s="148"/>
      <c r="G136" s="119"/>
      <c r="H136" s="119"/>
      <c r="I136" s="119"/>
      <c r="J136" s="119"/>
      <c r="K136" s="119"/>
      <c r="L136" s="119"/>
      <c r="M136" s="119"/>
      <c r="N136" s="119"/>
      <c r="O136" s="119"/>
      <c r="P136" s="119"/>
      <c r="Q136" s="119"/>
      <c r="R136" s="119"/>
      <c r="S136" s="160">
        <f t="shared" si="2"/>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c r="C137" s="3"/>
      <c r="D137" s="71"/>
      <c r="E137" s="71"/>
      <c r="F137" s="148"/>
      <c r="G137" s="119"/>
      <c r="H137" s="119"/>
      <c r="I137" s="119"/>
      <c r="J137" s="119"/>
      <c r="K137" s="119"/>
      <c r="L137" s="119"/>
      <c r="M137" s="119"/>
      <c r="N137" s="119"/>
      <c r="O137" s="119"/>
      <c r="P137" s="119"/>
      <c r="Q137" s="119"/>
      <c r="R137" s="119"/>
      <c r="S137" s="160">
        <f t="shared" si="2"/>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c r="C138" s="3"/>
      <c r="D138" s="71"/>
      <c r="E138" s="71"/>
      <c r="F138" s="148"/>
      <c r="G138" s="119"/>
      <c r="H138" s="119"/>
      <c r="I138" s="119"/>
      <c r="J138" s="119"/>
      <c r="K138" s="119"/>
      <c r="L138" s="119"/>
      <c r="M138" s="119"/>
      <c r="N138" s="119"/>
      <c r="O138" s="119"/>
      <c r="P138" s="119"/>
      <c r="Q138" s="119"/>
      <c r="R138" s="119"/>
      <c r="S138" s="160">
        <f t="shared" si="2"/>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c r="C139" s="3"/>
      <c r="D139" s="71"/>
      <c r="E139" s="71"/>
      <c r="F139" s="148"/>
      <c r="G139" s="119"/>
      <c r="H139" s="119"/>
      <c r="I139" s="119"/>
      <c r="J139" s="119"/>
      <c r="K139" s="119"/>
      <c r="L139" s="119"/>
      <c r="M139" s="119"/>
      <c r="N139" s="119"/>
      <c r="O139" s="119"/>
      <c r="P139" s="119"/>
      <c r="Q139" s="119"/>
      <c r="R139" s="119"/>
      <c r="S139" s="160">
        <f t="shared" si="2"/>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c r="C140" s="3"/>
      <c r="D140" s="71"/>
      <c r="E140" s="71"/>
      <c r="F140" s="148"/>
      <c r="G140" s="119"/>
      <c r="H140" s="119"/>
      <c r="I140" s="119"/>
      <c r="J140" s="119"/>
      <c r="K140" s="119"/>
      <c r="L140" s="119"/>
      <c r="M140" s="119"/>
      <c r="N140" s="119"/>
      <c r="O140" s="119"/>
      <c r="P140" s="119"/>
      <c r="Q140" s="119"/>
      <c r="R140" s="119"/>
      <c r="S140" s="160">
        <f t="shared" si="2"/>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c r="C141" s="3"/>
      <c r="D141" s="71"/>
      <c r="E141" s="71"/>
      <c r="F141" s="148"/>
      <c r="G141" s="119"/>
      <c r="H141" s="119"/>
      <c r="I141" s="119"/>
      <c r="J141" s="119"/>
      <c r="K141" s="119"/>
      <c r="L141" s="119"/>
      <c r="M141" s="119"/>
      <c r="N141" s="119"/>
      <c r="O141" s="119"/>
      <c r="P141" s="119"/>
      <c r="Q141" s="119"/>
      <c r="R141" s="119"/>
      <c r="S141" s="160">
        <f t="shared" si="2"/>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c r="C142" s="3"/>
      <c r="D142" s="71"/>
      <c r="E142" s="71"/>
      <c r="F142" s="148"/>
      <c r="G142" s="119"/>
      <c r="H142" s="119"/>
      <c r="I142" s="119"/>
      <c r="J142" s="119"/>
      <c r="K142" s="119"/>
      <c r="L142" s="119"/>
      <c r="M142" s="119"/>
      <c r="N142" s="119"/>
      <c r="O142" s="119"/>
      <c r="P142" s="119"/>
      <c r="Q142" s="119"/>
      <c r="R142" s="119"/>
      <c r="S142" s="160">
        <f t="shared" si="2"/>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c r="C143" s="3"/>
      <c r="D143" s="71"/>
      <c r="E143" s="71"/>
      <c r="F143" s="148"/>
      <c r="G143" s="119"/>
      <c r="H143" s="119"/>
      <c r="I143" s="119"/>
      <c r="J143" s="119"/>
      <c r="K143" s="119"/>
      <c r="L143" s="119"/>
      <c r="M143" s="119"/>
      <c r="N143" s="119"/>
      <c r="O143" s="119"/>
      <c r="P143" s="119"/>
      <c r="Q143" s="119"/>
      <c r="R143" s="119"/>
      <c r="S143" s="160">
        <f t="shared" si="2"/>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c r="C144" s="3"/>
      <c r="D144" s="71"/>
      <c r="E144" s="71"/>
      <c r="F144" s="148"/>
      <c r="G144" s="119"/>
      <c r="H144" s="119"/>
      <c r="I144" s="119"/>
      <c r="J144" s="119"/>
      <c r="K144" s="119"/>
      <c r="L144" s="119"/>
      <c r="M144" s="119"/>
      <c r="N144" s="119"/>
      <c r="O144" s="119"/>
      <c r="P144" s="119"/>
      <c r="Q144" s="119"/>
      <c r="R144" s="119"/>
      <c r="S144" s="160">
        <f t="shared" si="2"/>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c r="C145" s="3"/>
      <c r="D145" s="71"/>
      <c r="E145" s="71"/>
      <c r="F145" s="148"/>
      <c r="G145" s="119"/>
      <c r="H145" s="119"/>
      <c r="I145" s="119"/>
      <c r="J145" s="119"/>
      <c r="K145" s="119"/>
      <c r="L145" s="119"/>
      <c r="M145" s="119"/>
      <c r="N145" s="119"/>
      <c r="O145" s="119"/>
      <c r="P145" s="119"/>
      <c r="Q145" s="119"/>
      <c r="R145" s="119"/>
      <c r="S145" s="160">
        <f t="shared" si="2"/>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c r="C146" s="3"/>
      <c r="D146" s="71"/>
      <c r="E146" s="71"/>
      <c r="F146" s="148"/>
      <c r="G146" s="119"/>
      <c r="H146" s="119"/>
      <c r="I146" s="119"/>
      <c r="J146" s="119"/>
      <c r="K146" s="119"/>
      <c r="L146" s="119"/>
      <c r="M146" s="119"/>
      <c r="N146" s="119"/>
      <c r="O146" s="119"/>
      <c r="P146" s="119"/>
      <c r="Q146" s="119"/>
      <c r="R146" s="119"/>
      <c r="S146" s="160">
        <f t="shared" si="2"/>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c r="C147" s="3"/>
      <c r="D147" s="71"/>
      <c r="E147" s="71"/>
      <c r="F147" s="148"/>
      <c r="G147" s="119"/>
      <c r="H147" s="119"/>
      <c r="I147" s="119"/>
      <c r="J147" s="119"/>
      <c r="K147" s="119"/>
      <c r="L147" s="119"/>
      <c r="M147" s="119"/>
      <c r="N147" s="119"/>
      <c r="O147" s="119"/>
      <c r="P147" s="119"/>
      <c r="Q147" s="119"/>
      <c r="R147" s="119"/>
      <c r="S147" s="160">
        <f t="shared" si="2"/>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c r="C148" s="3"/>
      <c r="D148" s="71"/>
      <c r="E148" s="71"/>
      <c r="F148" s="148"/>
      <c r="G148" s="119"/>
      <c r="H148" s="119"/>
      <c r="I148" s="119"/>
      <c r="J148" s="119"/>
      <c r="K148" s="119"/>
      <c r="L148" s="119"/>
      <c r="M148" s="119"/>
      <c r="N148" s="119"/>
      <c r="O148" s="119"/>
      <c r="P148" s="119"/>
      <c r="Q148" s="119"/>
      <c r="R148" s="119"/>
      <c r="S148" s="160">
        <f t="shared" si="2"/>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c r="C149" s="3"/>
      <c r="D149" s="71"/>
      <c r="E149" s="71"/>
      <c r="F149" s="148"/>
      <c r="G149" s="119"/>
      <c r="H149" s="119"/>
      <c r="I149" s="119"/>
      <c r="J149" s="119"/>
      <c r="K149" s="119"/>
      <c r="L149" s="119"/>
      <c r="M149" s="119"/>
      <c r="N149" s="119"/>
      <c r="O149" s="119"/>
      <c r="P149" s="119"/>
      <c r="Q149" s="119"/>
      <c r="R149" s="119"/>
      <c r="S149" s="160">
        <f t="shared" si="2"/>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c r="C150" s="3"/>
      <c r="D150" s="71"/>
      <c r="E150" s="71"/>
      <c r="F150" s="148"/>
      <c r="G150" s="119"/>
      <c r="H150" s="119"/>
      <c r="I150" s="119"/>
      <c r="J150" s="119"/>
      <c r="K150" s="119"/>
      <c r="L150" s="119"/>
      <c r="M150" s="119"/>
      <c r="N150" s="119"/>
      <c r="O150" s="119"/>
      <c r="P150" s="119"/>
      <c r="Q150" s="119"/>
      <c r="R150" s="119"/>
      <c r="S150" s="160">
        <f t="shared" si="2"/>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c r="C151" s="3"/>
      <c r="D151" s="71"/>
      <c r="E151" s="71"/>
      <c r="F151" s="148"/>
      <c r="G151" s="119"/>
      <c r="H151" s="119"/>
      <c r="I151" s="119"/>
      <c r="J151" s="119"/>
      <c r="K151" s="119"/>
      <c r="L151" s="119"/>
      <c r="M151" s="119"/>
      <c r="N151" s="119"/>
      <c r="O151" s="119"/>
      <c r="P151" s="119"/>
      <c r="Q151" s="119"/>
      <c r="R151" s="119"/>
      <c r="S151" s="160">
        <f t="shared" si="2"/>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c r="C152" s="3"/>
      <c r="D152" s="71"/>
      <c r="E152" s="71"/>
      <c r="F152" s="148"/>
      <c r="G152" s="119"/>
      <c r="H152" s="119"/>
      <c r="I152" s="119"/>
      <c r="J152" s="119"/>
      <c r="K152" s="119"/>
      <c r="L152" s="119"/>
      <c r="M152" s="119"/>
      <c r="N152" s="119"/>
      <c r="O152" s="119"/>
      <c r="P152" s="119"/>
      <c r="Q152" s="119"/>
      <c r="R152" s="119"/>
      <c r="S152" s="160">
        <f t="shared" si="2"/>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c r="C153" s="3"/>
      <c r="D153" s="71"/>
      <c r="E153" s="71"/>
      <c r="F153" s="148"/>
      <c r="G153" s="119"/>
      <c r="H153" s="119"/>
      <c r="I153" s="119"/>
      <c r="J153" s="119"/>
      <c r="K153" s="119"/>
      <c r="L153" s="119"/>
      <c r="M153" s="119"/>
      <c r="N153" s="119"/>
      <c r="O153" s="119"/>
      <c r="P153" s="119"/>
      <c r="Q153" s="119"/>
      <c r="R153" s="119"/>
      <c r="S153" s="160">
        <f t="shared" si="2"/>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c r="C154" s="3"/>
      <c r="D154" s="71"/>
      <c r="E154" s="71"/>
      <c r="F154" s="148"/>
      <c r="G154" s="119"/>
      <c r="H154" s="119"/>
      <c r="I154" s="119"/>
      <c r="J154" s="119"/>
      <c r="K154" s="119"/>
      <c r="L154" s="119"/>
      <c r="M154" s="119"/>
      <c r="N154" s="119"/>
      <c r="O154" s="119"/>
      <c r="P154" s="119"/>
      <c r="Q154" s="119"/>
      <c r="R154" s="119"/>
      <c r="S154" s="160">
        <f t="shared" si="2"/>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c r="C155" s="3"/>
      <c r="D155" s="71"/>
      <c r="E155" s="71"/>
      <c r="F155" s="148"/>
      <c r="G155" s="119"/>
      <c r="H155" s="119"/>
      <c r="I155" s="119"/>
      <c r="J155" s="119"/>
      <c r="K155" s="119"/>
      <c r="L155" s="119"/>
      <c r="M155" s="119"/>
      <c r="N155" s="119"/>
      <c r="O155" s="119"/>
      <c r="P155" s="119"/>
      <c r="Q155" s="119"/>
      <c r="R155" s="119"/>
      <c r="S155" s="160">
        <f t="shared" si="2"/>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c r="C156" s="3"/>
      <c r="D156" s="71"/>
      <c r="E156" s="71"/>
      <c r="F156" s="148"/>
      <c r="G156" s="119"/>
      <c r="H156" s="119"/>
      <c r="I156" s="119"/>
      <c r="J156" s="119"/>
      <c r="K156" s="119"/>
      <c r="L156" s="119"/>
      <c r="M156" s="119"/>
      <c r="N156" s="119"/>
      <c r="O156" s="119"/>
      <c r="P156" s="119"/>
      <c r="Q156" s="119"/>
      <c r="R156" s="119"/>
      <c r="S156" s="160">
        <f t="shared" si="2"/>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c r="C157" s="3"/>
      <c r="D157" s="71"/>
      <c r="E157" s="71"/>
      <c r="F157" s="148"/>
      <c r="G157" s="119"/>
      <c r="H157" s="119"/>
      <c r="I157" s="119"/>
      <c r="J157" s="119"/>
      <c r="K157" s="119"/>
      <c r="L157" s="119"/>
      <c r="M157" s="119"/>
      <c r="N157" s="119"/>
      <c r="O157" s="119"/>
      <c r="P157" s="119"/>
      <c r="Q157" s="119"/>
      <c r="R157" s="119"/>
      <c r="S157" s="160">
        <f t="shared" si="2"/>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c r="C158" s="3"/>
      <c r="D158" s="71"/>
      <c r="E158" s="71"/>
      <c r="F158" s="148"/>
      <c r="G158" s="119"/>
      <c r="H158" s="119"/>
      <c r="I158" s="119"/>
      <c r="J158" s="119"/>
      <c r="K158" s="119"/>
      <c r="L158" s="119"/>
      <c r="M158" s="119"/>
      <c r="N158" s="119"/>
      <c r="O158" s="119"/>
      <c r="P158" s="119"/>
      <c r="Q158" s="119"/>
      <c r="R158" s="119"/>
      <c r="S158" s="160">
        <f t="shared" si="2"/>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c r="C159" s="3"/>
      <c r="D159" s="71"/>
      <c r="E159" s="71"/>
      <c r="F159" s="148"/>
      <c r="G159" s="119"/>
      <c r="H159" s="119"/>
      <c r="I159" s="119"/>
      <c r="J159" s="119"/>
      <c r="K159" s="119"/>
      <c r="L159" s="119"/>
      <c r="M159" s="119"/>
      <c r="N159" s="119"/>
      <c r="O159" s="119"/>
      <c r="P159" s="119"/>
      <c r="Q159" s="119"/>
      <c r="R159" s="119"/>
      <c r="S159" s="160">
        <f t="shared" si="2"/>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c r="C160" s="3"/>
      <c r="D160" s="71"/>
      <c r="E160" s="71"/>
      <c r="F160" s="148"/>
      <c r="G160" s="119"/>
      <c r="H160" s="119"/>
      <c r="I160" s="119"/>
      <c r="J160" s="119"/>
      <c r="K160" s="119"/>
      <c r="L160" s="119"/>
      <c r="M160" s="119"/>
      <c r="N160" s="119"/>
      <c r="O160" s="119"/>
      <c r="P160" s="119"/>
      <c r="Q160" s="119"/>
      <c r="R160" s="119"/>
      <c r="S160" s="160">
        <f t="shared" si="2"/>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c r="C161" s="3"/>
      <c r="D161" s="71"/>
      <c r="E161" s="71"/>
      <c r="F161" s="148"/>
      <c r="G161" s="119"/>
      <c r="H161" s="119"/>
      <c r="I161" s="119"/>
      <c r="J161" s="119"/>
      <c r="K161" s="119"/>
      <c r="L161" s="119"/>
      <c r="M161" s="119"/>
      <c r="N161" s="119"/>
      <c r="O161" s="119"/>
      <c r="P161" s="119"/>
      <c r="Q161" s="119"/>
      <c r="R161" s="119"/>
      <c r="S161" s="160">
        <f t="shared" si="2"/>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c r="C162" s="3"/>
      <c r="D162" s="71"/>
      <c r="E162" s="71"/>
      <c r="F162" s="148"/>
      <c r="G162" s="119"/>
      <c r="H162" s="119"/>
      <c r="I162" s="119"/>
      <c r="J162" s="119"/>
      <c r="K162" s="119"/>
      <c r="L162" s="119"/>
      <c r="M162" s="119"/>
      <c r="N162" s="119"/>
      <c r="O162" s="119"/>
      <c r="P162" s="119"/>
      <c r="Q162" s="119"/>
      <c r="R162" s="119"/>
      <c r="S162" s="160">
        <f t="shared" si="2"/>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c r="C163" s="3"/>
      <c r="D163" s="71"/>
      <c r="E163" s="71"/>
      <c r="F163" s="148"/>
      <c r="G163" s="119"/>
      <c r="H163" s="119"/>
      <c r="I163" s="119"/>
      <c r="J163" s="119"/>
      <c r="K163" s="119"/>
      <c r="L163" s="119"/>
      <c r="M163" s="119"/>
      <c r="N163" s="119"/>
      <c r="O163" s="119"/>
      <c r="P163" s="119"/>
      <c r="Q163" s="119"/>
      <c r="R163" s="119"/>
      <c r="S163" s="160">
        <f t="shared" si="2"/>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c r="C164" s="3"/>
      <c r="D164" s="71"/>
      <c r="E164" s="71"/>
      <c r="F164" s="148"/>
      <c r="G164" s="119"/>
      <c r="H164" s="119"/>
      <c r="I164" s="119"/>
      <c r="J164" s="119"/>
      <c r="K164" s="119"/>
      <c r="L164" s="119"/>
      <c r="M164" s="119"/>
      <c r="N164" s="119"/>
      <c r="O164" s="119"/>
      <c r="P164" s="119"/>
      <c r="Q164" s="119"/>
      <c r="R164" s="119"/>
      <c r="S164" s="160">
        <f t="shared" si="2"/>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c r="C165" s="3"/>
      <c r="D165" s="71"/>
      <c r="E165" s="71"/>
      <c r="F165" s="148"/>
      <c r="G165" s="119"/>
      <c r="H165" s="119"/>
      <c r="I165" s="119"/>
      <c r="J165" s="119"/>
      <c r="K165" s="119"/>
      <c r="L165" s="119"/>
      <c r="M165" s="119"/>
      <c r="N165" s="119"/>
      <c r="O165" s="119"/>
      <c r="P165" s="119"/>
      <c r="Q165" s="119"/>
      <c r="R165" s="119"/>
      <c r="S165" s="160">
        <f t="shared" si="2"/>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c r="C166" s="3"/>
      <c r="D166" s="71"/>
      <c r="E166" s="71"/>
      <c r="F166" s="148"/>
      <c r="G166" s="119"/>
      <c r="H166" s="119"/>
      <c r="I166" s="119"/>
      <c r="J166" s="119"/>
      <c r="K166" s="119"/>
      <c r="L166" s="119"/>
      <c r="M166" s="119"/>
      <c r="N166" s="119"/>
      <c r="O166" s="119"/>
      <c r="P166" s="119"/>
      <c r="Q166" s="119"/>
      <c r="R166" s="119"/>
      <c r="S166" s="160">
        <f t="shared" si="2"/>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c r="C167" s="3"/>
      <c r="D167" s="71"/>
      <c r="E167" s="71"/>
      <c r="F167" s="148"/>
      <c r="G167" s="119"/>
      <c r="H167" s="119"/>
      <c r="I167" s="119"/>
      <c r="J167" s="119"/>
      <c r="K167" s="119"/>
      <c r="L167" s="119"/>
      <c r="M167" s="119"/>
      <c r="N167" s="119"/>
      <c r="O167" s="119"/>
      <c r="P167" s="119"/>
      <c r="Q167" s="119"/>
      <c r="R167" s="119"/>
      <c r="S167" s="160">
        <f t="shared" si="2"/>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c r="C168" s="3"/>
      <c r="D168" s="71"/>
      <c r="E168" s="71"/>
      <c r="F168" s="148"/>
      <c r="G168" s="119"/>
      <c r="H168" s="119"/>
      <c r="I168" s="119"/>
      <c r="J168" s="119"/>
      <c r="K168" s="119"/>
      <c r="L168" s="119"/>
      <c r="M168" s="119"/>
      <c r="N168" s="119"/>
      <c r="O168" s="119"/>
      <c r="P168" s="119"/>
      <c r="Q168" s="119"/>
      <c r="R168" s="119"/>
      <c r="S168" s="160">
        <f t="shared" si="2"/>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c r="C169" s="3"/>
      <c r="D169" s="71"/>
      <c r="E169" s="71"/>
      <c r="F169" s="148"/>
      <c r="G169" s="119"/>
      <c r="H169" s="119"/>
      <c r="I169" s="119"/>
      <c r="J169" s="119"/>
      <c r="K169" s="119"/>
      <c r="L169" s="119"/>
      <c r="M169" s="119"/>
      <c r="N169" s="119"/>
      <c r="O169" s="119"/>
      <c r="P169" s="119"/>
      <c r="Q169" s="119"/>
      <c r="R169" s="119"/>
      <c r="S169" s="160">
        <f t="shared" si="2"/>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c r="C170" s="3"/>
      <c r="D170" s="71"/>
      <c r="E170" s="71"/>
      <c r="F170" s="148"/>
      <c r="G170" s="119"/>
      <c r="H170" s="119"/>
      <c r="I170" s="119"/>
      <c r="J170" s="119"/>
      <c r="K170" s="119"/>
      <c r="L170" s="119"/>
      <c r="M170" s="119"/>
      <c r="N170" s="119"/>
      <c r="O170" s="119"/>
      <c r="P170" s="119"/>
      <c r="Q170" s="119"/>
      <c r="R170" s="119"/>
      <c r="S170" s="160">
        <f t="shared" si="2"/>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c r="C171" s="3"/>
      <c r="D171" s="71"/>
      <c r="E171" s="71"/>
      <c r="F171" s="148"/>
      <c r="G171" s="119"/>
      <c r="H171" s="119"/>
      <c r="I171" s="119"/>
      <c r="J171" s="119"/>
      <c r="K171" s="119"/>
      <c r="L171" s="119"/>
      <c r="M171" s="119"/>
      <c r="N171" s="119"/>
      <c r="O171" s="119"/>
      <c r="P171" s="119"/>
      <c r="Q171" s="119"/>
      <c r="R171" s="119"/>
      <c r="S171" s="160">
        <f t="shared" si="2"/>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c r="C172" s="3"/>
      <c r="D172" s="71"/>
      <c r="E172" s="71"/>
      <c r="F172" s="148"/>
      <c r="G172" s="119"/>
      <c r="H172" s="119"/>
      <c r="I172" s="119"/>
      <c r="J172" s="119"/>
      <c r="K172" s="119"/>
      <c r="L172" s="119"/>
      <c r="M172" s="119"/>
      <c r="N172" s="119"/>
      <c r="O172" s="119"/>
      <c r="P172" s="119"/>
      <c r="Q172" s="119"/>
      <c r="R172" s="119"/>
      <c r="S172" s="160">
        <f t="shared" si="2"/>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c r="C173" s="3"/>
      <c r="D173" s="71"/>
      <c r="E173" s="71"/>
      <c r="F173" s="148"/>
      <c r="G173" s="119"/>
      <c r="H173" s="119"/>
      <c r="I173" s="119"/>
      <c r="J173" s="119"/>
      <c r="K173" s="119"/>
      <c r="L173" s="119"/>
      <c r="M173" s="119"/>
      <c r="N173" s="119"/>
      <c r="O173" s="119"/>
      <c r="P173" s="119"/>
      <c r="Q173" s="119"/>
      <c r="R173" s="119"/>
      <c r="S173" s="160">
        <f t="shared" si="2"/>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c r="C174" s="3"/>
      <c r="D174" s="71"/>
      <c r="E174" s="71"/>
      <c r="F174" s="148"/>
      <c r="G174" s="119"/>
      <c r="H174" s="119"/>
      <c r="I174" s="119"/>
      <c r="J174" s="119"/>
      <c r="K174" s="119"/>
      <c r="L174" s="119"/>
      <c r="M174" s="119"/>
      <c r="N174" s="119"/>
      <c r="O174" s="119"/>
      <c r="P174" s="119"/>
      <c r="Q174" s="119"/>
      <c r="R174" s="119"/>
      <c r="S174" s="160">
        <f t="shared" si="2"/>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c r="C175" s="3"/>
      <c r="D175" s="71"/>
      <c r="E175" s="71"/>
      <c r="F175" s="148"/>
      <c r="G175" s="119"/>
      <c r="H175" s="119"/>
      <c r="I175" s="119"/>
      <c r="J175" s="119"/>
      <c r="K175" s="119"/>
      <c r="L175" s="119"/>
      <c r="M175" s="119"/>
      <c r="N175" s="119"/>
      <c r="O175" s="119"/>
      <c r="P175" s="119"/>
      <c r="Q175" s="119"/>
      <c r="R175" s="119"/>
      <c r="S175" s="160">
        <f t="shared" si="2"/>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c r="C176" s="3"/>
      <c r="D176" s="71"/>
      <c r="E176" s="71"/>
      <c r="F176" s="148"/>
      <c r="G176" s="119"/>
      <c r="H176" s="119"/>
      <c r="I176" s="119"/>
      <c r="J176" s="119"/>
      <c r="K176" s="119"/>
      <c r="L176" s="119"/>
      <c r="M176" s="119"/>
      <c r="N176" s="119"/>
      <c r="O176" s="119"/>
      <c r="P176" s="119"/>
      <c r="Q176" s="119"/>
      <c r="R176" s="119"/>
      <c r="S176" s="160">
        <f t="shared" si="2"/>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c r="C177" s="3"/>
      <c r="D177" s="71"/>
      <c r="E177" s="71"/>
      <c r="F177" s="148"/>
      <c r="G177" s="119"/>
      <c r="H177" s="119"/>
      <c r="I177" s="119"/>
      <c r="J177" s="119"/>
      <c r="K177" s="119"/>
      <c r="L177" s="119"/>
      <c r="M177" s="119"/>
      <c r="N177" s="119"/>
      <c r="O177" s="119"/>
      <c r="P177" s="119"/>
      <c r="Q177" s="119"/>
      <c r="R177" s="119"/>
      <c r="S177" s="160">
        <f t="shared" si="2"/>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c r="C178" s="3"/>
      <c r="D178" s="71"/>
      <c r="E178" s="71"/>
      <c r="F178" s="148"/>
      <c r="G178" s="119"/>
      <c r="H178" s="119"/>
      <c r="I178" s="119"/>
      <c r="J178" s="119"/>
      <c r="K178" s="119"/>
      <c r="L178" s="119"/>
      <c r="M178" s="119"/>
      <c r="N178" s="119"/>
      <c r="O178" s="119"/>
      <c r="P178" s="119"/>
      <c r="Q178" s="119"/>
      <c r="R178" s="119"/>
      <c r="S178" s="160">
        <f t="shared" si="2"/>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c r="C179" s="3"/>
      <c r="D179" s="71"/>
      <c r="E179" s="71"/>
      <c r="F179" s="148"/>
      <c r="G179" s="119"/>
      <c r="H179" s="119"/>
      <c r="I179" s="119"/>
      <c r="J179" s="119"/>
      <c r="K179" s="119"/>
      <c r="L179" s="119"/>
      <c r="M179" s="119"/>
      <c r="N179" s="119"/>
      <c r="O179" s="119"/>
      <c r="P179" s="119"/>
      <c r="Q179" s="119"/>
      <c r="R179" s="119"/>
      <c r="S179" s="160">
        <f t="shared" si="2"/>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c r="C180" s="3"/>
      <c r="D180" s="71"/>
      <c r="E180" s="71"/>
      <c r="F180" s="148"/>
      <c r="G180" s="119"/>
      <c r="H180" s="119"/>
      <c r="I180" s="119"/>
      <c r="J180" s="119"/>
      <c r="K180" s="119"/>
      <c r="L180" s="119"/>
      <c r="M180" s="119"/>
      <c r="N180" s="119"/>
      <c r="O180" s="119"/>
      <c r="P180" s="119"/>
      <c r="Q180" s="119"/>
      <c r="R180" s="119"/>
      <c r="S180" s="160">
        <f t="shared" si="2"/>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c r="C181" s="3"/>
      <c r="D181" s="71"/>
      <c r="E181" s="71"/>
      <c r="F181" s="148"/>
      <c r="G181" s="119"/>
      <c r="H181" s="119"/>
      <c r="I181" s="119"/>
      <c r="J181" s="119"/>
      <c r="K181" s="119"/>
      <c r="L181" s="119"/>
      <c r="M181" s="119"/>
      <c r="N181" s="119"/>
      <c r="O181" s="119"/>
      <c r="P181" s="119"/>
      <c r="Q181" s="119"/>
      <c r="R181" s="119"/>
      <c r="S181" s="160">
        <f t="shared" si="2"/>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c r="C182" s="3"/>
      <c r="D182" s="71"/>
      <c r="E182" s="71"/>
      <c r="F182" s="148"/>
      <c r="G182" s="119"/>
      <c r="H182" s="119"/>
      <c r="I182" s="119"/>
      <c r="J182" s="119"/>
      <c r="K182" s="119"/>
      <c r="L182" s="119"/>
      <c r="M182" s="119"/>
      <c r="N182" s="119"/>
      <c r="O182" s="119"/>
      <c r="P182" s="119"/>
      <c r="Q182" s="119"/>
      <c r="R182" s="119"/>
      <c r="S182" s="160">
        <f t="shared" si="2"/>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c r="C183" s="3"/>
      <c r="D183" s="71"/>
      <c r="E183" s="71"/>
      <c r="F183" s="148"/>
      <c r="G183" s="119"/>
      <c r="H183" s="119"/>
      <c r="I183" s="119"/>
      <c r="J183" s="119"/>
      <c r="K183" s="119"/>
      <c r="L183" s="119"/>
      <c r="M183" s="119"/>
      <c r="N183" s="119"/>
      <c r="O183" s="119"/>
      <c r="P183" s="119"/>
      <c r="Q183" s="119"/>
      <c r="R183" s="119"/>
      <c r="S183" s="160">
        <f t="shared" si="2"/>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c r="C184" s="3"/>
      <c r="D184" s="71"/>
      <c r="E184" s="71"/>
      <c r="F184" s="148"/>
      <c r="G184" s="119"/>
      <c r="H184" s="119"/>
      <c r="I184" s="119"/>
      <c r="J184" s="119"/>
      <c r="K184" s="119"/>
      <c r="L184" s="119"/>
      <c r="M184" s="119"/>
      <c r="N184" s="119"/>
      <c r="O184" s="119"/>
      <c r="P184" s="119"/>
      <c r="Q184" s="119"/>
      <c r="R184" s="119"/>
      <c r="S184" s="160">
        <f t="shared" si="2"/>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c r="C185" s="3"/>
      <c r="D185" s="71"/>
      <c r="E185" s="71"/>
      <c r="F185" s="148"/>
      <c r="G185" s="119"/>
      <c r="H185" s="119"/>
      <c r="I185" s="119"/>
      <c r="J185" s="119"/>
      <c r="K185" s="119"/>
      <c r="L185" s="119"/>
      <c r="M185" s="119"/>
      <c r="N185" s="119"/>
      <c r="O185" s="119"/>
      <c r="P185" s="119"/>
      <c r="Q185" s="119"/>
      <c r="R185" s="119"/>
      <c r="S185" s="160">
        <f t="shared" si="2"/>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c r="C186" s="3"/>
      <c r="D186" s="71"/>
      <c r="E186" s="71"/>
      <c r="F186" s="148"/>
      <c r="G186" s="119"/>
      <c r="H186" s="119"/>
      <c r="I186" s="119"/>
      <c r="J186" s="119"/>
      <c r="K186" s="119"/>
      <c r="L186" s="119"/>
      <c r="M186" s="119"/>
      <c r="N186" s="119"/>
      <c r="O186" s="119"/>
      <c r="P186" s="119"/>
      <c r="Q186" s="119"/>
      <c r="R186" s="119"/>
      <c r="S186" s="160">
        <f t="shared" si="2"/>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c r="C187" s="3"/>
      <c r="D187" s="71"/>
      <c r="E187" s="71"/>
      <c r="F187" s="148"/>
      <c r="G187" s="119"/>
      <c r="H187" s="119"/>
      <c r="I187" s="119"/>
      <c r="J187" s="119"/>
      <c r="K187" s="119"/>
      <c r="L187" s="119"/>
      <c r="M187" s="119"/>
      <c r="N187" s="119"/>
      <c r="O187" s="119"/>
      <c r="P187" s="119"/>
      <c r="Q187" s="119"/>
      <c r="R187" s="119"/>
      <c r="S187" s="160">
        <f t="shared" si="2"/>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c r="C188" s="3"/>
      <c r="D188" s="71"/>
      <c r="E188" s="71"/>
      <c r="F188" s="148"/>
      <c r="G188" s="119"/>
      <c r="H188" s="119"/>
      <c r="I188" s="119"/>
      <c r="J188" s="119"/>
      <c r="K188" s="119"/>
      <c r="L188" s="119"/>
      <c r="M188" s="119"/>
      <c r="N188" s="119"/>
      <c r="O188" s="119"/>
      <c r="P188" s="119"/>
      <c r="Q188" s="119"/>
      <c r="R188" s="119"/>
      <c r="S188" s="160">
        <f t="shared" si="2"/>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c r="C189" s="3"/>
      <c r="D189" s="71"/>
      <c r="E189" s="71"/>
      <c r="F189" s="148"/>
      <c r="G189" s="119"/>
      <c r="H189" s="119"/>
      <c r="I189" s="119"/>
      <c r="J189" s="119"/>
      <c r="K189" s="119"/>
      <c r="L189" s="119"/>
      <c r="M189" s="119"/>
      <c r="N189" s="119"/>
      <c r="O189" s="119"/>
      <c r="P189" s="119"/>
      <c r="Q189" s="119"/>
      <c r="R189" s="119"/>
      <c r="S189" s="160">
        <f t="shared" si="2"/>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c r="C190" s="3"/>
      <c r="D190" s="71"/>
      <c r="E190" s="71"/>
      <c r="F190" s="148"/>
      <c r="G190" s="119"/>
      <c r="H190" s="119"/>
      <c r="I190" s="119"/>
      <c r="J190" s="119"/>
      <c r="K190" s="119"/>
      <c r="L190" s="119"/>
      <c r="M190" s="119"/>
      <c r="N190" s="119"/>
      <c r="O190" s="119"/>
      <c r="P190" s="119"/>
      <c r="Q190" s="119"/>
      <c r="R190" s="119"/>
      <c r="S190" s="160">
        <f t="shared" si="2"/>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c r="C191" s="3"/>
      <c r="D191" s="71"/>
      <c r="E191" s="71"/>
      <c r="F191" s="148"/>
      <c r="G191" s="119"/>
      <c r="H191" s="119"/>
      <c r="I191" s="119"/>
      <c r="J191" s="119"/>
      <c r="K191" s="119"/>
      <c r="L191" s="119"/>
      <c r="M191" s="119"/>
      <c r="N191" s="119"/>
      <c r="O191" s="119"/>
      <c r="P191" s="119"/>
      <c r="Q191" s="119"/>
      <c r="R191" s="119"/>
      <c r="S191" s="160">
        <f t="shared" si="2"/>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c r="C192" s="3"/>
      <c r="D192" s="71"/>
      <c r="E192" s="71"/>
      <c r="F192" s="148"/>
      <c r="G192" s="119"/>
      <c r="H192" s="119"/>
      <c r="I192" s="119"/>
      <c r="J192" s="119"/>
      <c r="K192" s="119"/>
      <c r="L192" s="119"/>
      <c r="M192" s="119"/>
      <c r="N192" s="119"/>
      <c r="O192" s="119"/>
      <c r="P192" s="119"/>
      <c r="Q192" s="119"/>
      <c r="R192" s="119"/>
      <c r="S192" s="160">
        <f t="shared" si="2"/>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c r="C193" s="3"/>
      <c r="D193" s="71"/>
      <c r="E193" s="71"/>
      <c r="F193" s="148"/>
      <c r="G193" s="119"/>
      <c r="H193" s="119"/>
      <c r="I193" s="119"/>
      <c r="J193" s="119"/>
      <c r="K193" s="119"/>
      <c r="L193" s="119"/>
      <c r="M193" s="119"/>
      <c r="N193" s="119"/>
      <c r="O193" s="119"/>
      <c r="P193" s="119"/>
      <c r="Q193" s="119"/>
      <c r="R193" s="119"/>
      <c r="S193" s="160">
        <f t="shared" si="2"/>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c r="C194" s="3"/>
      <c r="D194" s="71"/>
      <c r="E194" s="71"/>
      <c r="F194" s="148"/>
      <c r="G194" s="119"/>
      <c r="H194" s="119"/>
      <c r="I194" s="119"/>
      <c r="J194" s="119"/>
      <c r="K194" s="119"/>
      <c r="L194" s="119"/>
      <c r="M194" s="119"/>
      <c r="N194" s="119"/>
      <c r="O194" s="119"/>
      <c r="P194" s="119"/>
      <c r="Q194" s="119"/>
      <c r="R194" s="119"/>
      <c r="S194" s="160">
        <f t="shared" si="2"/>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c r="C195" s="3"/>
      <c r="D195" s="71"/>
      <c r="E195" s="71"/>
      <c r="F195" s="148"/>
      <c r="G195" s="119"/>
      <c r="H195" s="119"/>
      <c r="I195" s="119"/>
      <c r="J195" s="119"/>
      <c r="K195" s="119"/>
      <c r="L195" s="119"/>
      <c r="M195" s="119"/>
      <c r="N195" s="119"/>
      <c r="O195" s="119"/>
      <c r="P195" s="119"/>
      <c r="Q195" s="119"/>
      <c r="R195" s="119"/>
      <c r="S195" s="160">
        <f t="shared" si="2"/>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c r="C196" s="3"/>
      <c r="D196" s="71"/>
      <c r="E196" s="71"/>
      <c r="F196" s="148"/>
      <c r="G196" s="119"/>
      <c r="H196" s="119"/>
      <c r="I196" s="119"/>
      <c r="J196" s="119"/>
      <c r="K196" s="119"/>
      <c r="L196" s="119"/>
      <c r="M196" s="119"/>
      <c r="N196" s="119"/>
      <c r="O196" s="119"/>
      <c r="P196" s="119"/>
      <c r="Q196" s="119"/>
      <c r="R196" s="119"/>
      <c r="S196" s="160">
        <f t="shared" si="2"/>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c r="C197" s="3"/>
      <c r="D197" s="71"/>
      <c r="E197" s="71"/>
      <c r="F197" s="148"/>
      <c r="G197" s="119"/>
      <c r="H197" s="119"/>
      <c r="I197" s="119"/>
      <c r="J197" s="119"/>
      <c r="K197" s="119"/>
      <c r="L197" s="119"/>
      <c r="M197" s="119"/>
      <c r="N197" s="119"/>
      <c r="O197" s="119"/>
      <c r="P197" s="119"/>
      <c r="Q197" s="119"/>
      <c r="R197" s="119"/>
      <c r="S197" s="160">
        <f t="shared" si="2"/>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c r="C198" s="3"/>
      <c r="D198" s="71"/>
      <c r="E198" s="71"/>
      <c r="F198" s="148"/>
      <c r="G198" s="119"/>
      <c r="H198" s="119"/>
      <c r="I198" s="119"/>
      <c r="J198" s="119"/>
      <c r="K198" s="119"/>
      <c r="L198" s="119"/>
      <c r="M198" s="119"/>
      <c r="N198" s="119"/>
      <c r="O198" s="119"/>
      <c r="P198" s="119"/>
      <c r="Q198" s="119"/>
      <c r="R198" s="119"/>
      <c r="S198" s="160">
        <f t="shared" si="2"/>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c r="C199" s="3"/>
      <c r="D199" s="71"/>
      <c r="E199" s="71"/>
      <c r="F199" s="148"/>
      <c r="G199" s="119"/>
      <c r="H199" s="119"/>
      <c r="I199" s="119"/>
      <c r="J199" s="119"/>
      <c r="K199" s="119"/>
      <c r="L199" s="119"/>
      <c r="M199" s="119"/>
      <c r="N199" s="119"/>
      <c r="O199" s="119"/>
      <c r="P199" s="119"/>
      <c r="Q199" s="119"/>
      <c r="R199" s="119"/>
      <c r="S199" s="160">
        <f t="shared" ref="S199:S262" si="3">((P199*10000/39.1)+(Q199*10000/23)-(R199*10000/35.5))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c r="C200" s="3"/>
      <c r="D200" s="71"/>
      <c r="E200" s="71"/>
      <c r="F200" s="148"/>
      <c r="G200" s="119"/>
      <c r="H200" s="119"/>
      <c r="I200" s="119"/>
      <c r="J200" s="119"/>
      <c r="K200" s="119"/>
      <c r="L200" s="119"/>
      <c r="M200" s="119"/>
      <c r="N200" s="119"/>
      <c r="O200" s="119"/>
      <c r="P200" s="119"/>
      <c r="Q200" s="119"/>
      <c r="R200" s="119"/>
      <c r="S200" s="160">
        <f t="shared" si="3"/>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c r="C201" s="3"/>
      <c r="D201" s="71"/>
      <c r="E201" s="71"/>
      <c r="F201" s="148"/>
      <c r="G201" s="119"/>
      <c r="H201" s="119"/>
      <c r="I201" s="119"/>
      <c r="J201" s="119"/>
      <c r="K201" s="119"/>
      <c r="L201" s="119"/>
      <c r="M201" s="119"/>
      <c r="N201" s="119"/>
      <c r="O201" s="119"/>
      <c r="P201" s="119"/>
      <c r="Q201" s="119"/>
      <c r="R201" s="119"/>
      <c r="S201" s="160">
        <f t="shared" si="3"/>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c r="C202" s="3"/>
      <c r="D202" s="71"/>
      <c r="E202" s="71"/>
      <c r="F202" s="148"/>
      <c r="G202" s="119"/>
      <c r="H202" s="119"/>
      <c r="I202" s="119"/>
      <c r="J202" s="119"/>
      <c r="K202" s="119"/>
      <c r="L202" s="119"/>
      <c r="M202" s="119"/>
      <c r="N202" s="119"/>
      <c r="O202" s="119"/>
      <c r="P202" s="119"/>
      <c r="Q202" s="119"/>
      <c r="R202" s="119"/>
      <c r="S202" s="160">
        <f t="shared" si="3"/>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c r="C203" s="3"/>
      <c r="D203" s="71"/>
      <c r="E203" s="71"/>
      <c r="F203" s="148"/>
      <c r="G203" s="119"/>
      <c r="H203" s="119"/>
      <c r="I203" s="119"/>
      <c r="J203" s="119"/>
      <c r="K203" s="119"/>
      <c r="L203" s="119"/>
      <c r="M203" s="119"/>
      <c r="N203" s="119"/>
      <c r="O203" s="119"/>
      <c r="P203" s="119"/>
      <c r="Q203" s="119"/>
      <c r="R203" s="119"/>
      <c r="S203" s="160">
        <f t="shared" si="3"/>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c r="C204" s="3"/>
      <c r="D204" s="71"/>
      <c r="E204" s="71"/>
      <c r="F204" s="148"/>
      <c r="G204" s="119"/>
      <c r="H204" s="119"/>
      <c r="I204" s="119"/>
      <c r="J204" s="119"/>
      <c r="K204" s="119"/>
      <c r="L204" s="119"/>
      <c r="M204" s="119"/>
      <c r="N204" s="119"/>
      <c r="O204" s="119"/>
      <c r="P204" s="119"/>
      <c r="Q204" s="119"/>
      <c r="R204" s="119"/>
      <c r="S204" s="160">
        <f t="shared" si="3"/>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c r="C205" s="3"/>
      <c r="D205" s="71"/>
      <c r="E205" s="71"/>
      <c r="F205" s="148"/>
      <c r="G205" s="119"/>
      <c r="H205" s="119"/>
      <c r="I205" s="119"/>
      <c r="J205" s="119"/>
      <c r="K205" s="119"/>
      <c r="L205" s="119"/>
      <c r="M205" s="119"/>
      <c r="N205" s="119"/>
      <c r="O205" s="119"/>
      <c r="P205" s="119"/>
      <c r="Q205" s="119"/>
      <c r="R205" s="119"/>
      <c r="S205" s="160">
        <f t="shared" si="3"/>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c r="C206" s="3"/>
      <c r="D206" s="71"/>
      <c r="E206" s="71"/>
      <c r="F206" s="148"/>
      <c r="G206" s="119"/>
      <c r="H206" s="119"/>
      <c r="I206" s="119"/>
      <c r="J206" s="119"/>
      <c r="K206" s="119"/>
      <c r="L206" s="119"/>
      <c r="M206" s="119"/>
      <c r="N206" s="119"/>
      <c r="O206" s="119"/>
      <c r="P206" s="119"/>
      <c r="Q206" s="119"/>
      <c r="R206" s="119"/>
      <c r="S206" s="160">
        <f t="shared" si="3"/>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c r="C207" s="3"/>
      <c r="D207" s="71"/>
      <c r="E207" s="71"/>
      <c r="F207" s="148"/>
      <c r="G207" s="119"/>
      <c r="H207" s="119"/>
      <c r="I207" s="119"/>
      <c r="J207" s="119"/>
      <c r="K207" s="119"/>
      <c r="L207" s="119"/>
      <c r="M207" s="119"/>
      <c r="N207" s="119"/>
      <c r="O207" s="119"/>
      <c r="P207" s="119"/>
      <c r="Q207" s="119"/>
      <c r="R207" s="119"/>
      <c r="S207" s="160">
        <f t="shared" si="3"/>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c r="C208" s="3"/>
      <c r="D208" s="71"/>
      <c r="E208" s="71"/>
      <c r="F208" s="148"/>
      <c r="G208" s="119"/>
      <c r="H208" s="119"/>
      <c r="I208" s="119"/>
      <c r="J208" s="119"/>
      <c r="K208" s="119"/>
      <c r="L208" s="119"/>
      <c r="M208" s="119"/>
      <c r="N208" s="119"/>
      <c r="O208" s="119"/>
      <c r="P208" s="119"/>
      <c r="Q208" s="119"/>
      <c r="R208" s="119"/>
      <c r="S208" s="160">
        <f t="shared" si="3"/>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c r="C209" s="3"/>
      <c r="D209" s="71"/>
      <c r="E209" s="71"/>
      <c r="F209" s="148"/>
      <c r="G209" s="119"/>
      <c r="H209" s="119"/>
      <c r="I209" s="119"/>
      <c r="J209" s="119"/>
      <c r="K209" s="119"/>
      <c r="L209" s="119"/>
      <c r="M209" s="119"/>
      <c r="N209" s="119"/>
      <c r="O209" s="119"/>
      <c r="P209" s="119"/>
      <c r="Q209" s="119"/>
      <c r="R209" s="119"/>
      <c r="S209" s="160">
        <f t="shared" si="3"/>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c r="C210" s="3"/>
      <c r="D210" s="71"/>
      <c r="E210" s="71"/>
      <c r="F210" s="148"/>
      <c r="G210" s="119"/>
      <c r="H210" s="119"/>
      <c r="I210" s="119"/>
      <c r="J210" s="119"/>
      <c r="K210" s="119"/>
      <c r="L210" s="119"/>
      <c r="M210" s="119"/>
      <c r="N210" s="119"/>
      <c r="O210" s="119"/>
      <c r="P210" s="119"/>
      <c r="Q210" s="119"/>
      <c r="R210" s="119"/>
      <c r="S210" s="160">
        <f t="shared" si="3"/>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c r="C211" s="3"/>
      <c r="D211" s="71"/>
      <c r="E211" s="71"/>
      <c r="F211" s="148"/>
      <c r="G211" s="119"/>
      <c r="H211" s="119"/>
      <c r="I211" s="119"/>
      <c r="J211" s="119"/>
      <c r="K211" s="119"/>
      <c r="L211" s="119"/>
      <c r="M211" s="119"/>
      <c r="N211" s="119"/>
      <c r="O211" s="119"/>
      <c r="P211" s="119"/>
      <c r="Q211" s="119"/>
      <c r="R211" s="119"/>
      <c r="S211" s="160">
        <f t="shared" si="3"/>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c r="C212" s="3"/>
      <c r="D212" s="71"/>
      <c r="E212" s="71"/>
      <c r="F212" s="148"/>
      <c r="G212" s="119"/>
      <c r="H212" s="119"/>
      <c r="I212" s="119"/>
      <c r="J212" s="119"/>
      <c r="K212" s="119"/>
      <c r="L212" s="119"/>
      <c r="M212" s="119"/>
      <c r="N212" s="119"/>
      <c r="O212" s="119"/>
      <c r="P212" s="119"/>
      <c r="Q212" s="119"/>
      <c r="R212" s="119"/>
      <c r="S212" s="160">
        <f t="shared" si="3"/>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c r="C213" s="3"/>
      <c r="D213" s="71"/>
      <c r="E213" s="71"/>
      <c r="F213" s="148"/>
      <c r="G213" s="119"/>
      <c r="H213" s="119"/>
      <c r="I213" s="119"/>
      <c r="J213" s="119"/>
      <c r="K213" s="119"/>
      <c r="L213" s="119"/>
      <c r="M213" s="119"/>
      <c r="N213" s="119"/>
      <c r="O213" s="119"/>
      <c r="P213" s="119"/>
      <c r="Q213" s="119"/>
      <c r="R213" s="119"/>
      <c r="S213" s="160">
        <f t="shared" si="3"/>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c r="C214" s="3"/>
      <c r="D214" s="71"/>
      <c r="E214" s="71"/>
      <c r="F214" s="148"/>
      <c r="G214" s="119"/>
      <c r="H214" s="119"/>
      <c r="I214" s="119"/>
      <c r="J214" s="119"/>
      <c r="K214" s="119"/>
      <c r="L214" s="119"/>
      <c r="M214" s="119"/>
      <c r="N214" s="119"/>
      <c r="O214" s="119"/>
      <c r="P214" s="119"/>
      <c r="Q214" s="119"/>
      <c r="R214" s="119"/>
      <c r="S214" s="160">
        <f t="shared" si="3"/>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c r="C215" s="3"/>
      <c r="D215" s="71"/>
      <c r="E215" s="71"/>
      <c r="F215" s="148"/>
      <c r="G215" s="119"/>
      <c r="H215" s="119"/>
      <c r="I215" s="119"/>
      <c r="J215" s="119"/>
      <c r="K215" s="119"/>
      <c r="L215" s="119"/>
      <c r="M215" s="119"/>
      <c r="N215" s="119"/>
      <c r="O215" s="119"/>
      <c r="P215" s="119"/>
      <c r="Q215" s="119"/>
      <c r="R215" s="119"/>
      <c r="S215" s="160">
        <f t="shared" si="3"/>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c r="C216" s="3"/>
      <c r="D216" s="71"/>
      <c r="E216" s="71"/>
      <c r="F216" s="148"/>
      <c r="G216" s="119"/>
      <c r="H216" s="119"/>
      <c r="I216" s="119"/>
      <c r="J216" s="119"/>
      <c r="K216" s="119"/>
      <c r="L216" s="119"/>
      <c r="M216" s="119"/>
      <c r="N216" s="119"/>
      <c r="O216" s="119"/>
      <c r="P216" s="119"/>
      <c r="Q216" s="119"/>
      <c r="R216" s="119"/>
      <c r="S216" s="160">
        <f t="shared" si="3"/>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c r="C217" s="3"/>
      <c r="D217" s="71"/>
      <c r="E217" s="71"/>
      <c r="F217" s="148"/>
      <c r="G217" s="119"/>
      <c r="H217" s="119"/>
      <c r="I217" s="119"/>
      <c r="J217" s="119"/>
      <c r="K217" s="119"/>
      <c r="L217" s="119"/>
      <c r="M217" s="119"/>
      <c r="N217" s="119"/>
      <c r="O217" s="119"/>
      <c r="P217" s="119"/>
      <c r="Q217" s="119"/>
      <c r="R217" s="119"/>
      <c r="S217" s="160">
        <f t="shared" si="3"/>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c r="C218" s="3"/>
      <c r="D218" s="71"/>
      <c r="E218" s="71"/>
      <c r="F218" s="148"/>
      <c r="G218" s="119"/>
      <c r="H218" s="119"/>
      <c r="I218" s="119"/>
      <c r="J218" s="119"/>
      <c r="K218" s="119"/>
      <c r="L218" s="119"/>
      <c r="M218" s="119"/>
      <c r="N218" s="119"/>
      <c r="O218" s="119"/>
      <c r="P218" s="119"/>
      <c r="Q218" s="119"/>
      <c r="R218" s="119"/>
      <c r="S218" s="160">
        <f t="shared" si="3"/>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c r="C219" s="3"/>
      <c r="D219" s="71"/>
      <c r="E219" s="71"/>
      <c r="F219" s="148"/>
      <c r="G219" s="119"/>
      <c r="H219" s="119"/>
      <c r="I219" s="119"/>
      <c r="J219" s="119"/>
      <c r="K219" s="119"/>
      <c r="L219" s="119"/>
      <c r="M219" s="119"/>
      <c r="N219" s="119"/>
      <c r="O219" s="119"/>
      <c r="P219" s="119"/>
      <c r="Q219" s="119"/>
      <c r="R219" s="119"/>
      <c r="S219" s="160">
        <f t="shared" si="3"/>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c r="C220" s="3"/>
      <c r="D220" s="71"/>
      <c r="E220" s="71"/>
      <c r="F220" s="148"/>
      <c r="G220" s="119"/>
      <c r="H220" s="119"/>
      <c r="I220" s="119"/>
      <c r="J220" s="119"/>
      <c r="K220" s="119"/>
      <c r="L220" s="119"/>
      <c r="M220" s="119"/>
      <c r="N220" s="119"/>
      <c r="O220" s="119"/>
      <c r="P220" s="119"/>
      <c r="Q220" s="119"/>
      <c r="R220" s="119"/>
      <c r="S220" s="160">
        <f t="shared" si="3"/>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c r="C221" s="3"/>
      <c r="D221" s="71"/>
      <c r="E221" s="71"/>
      <c r="F221" s="148"/>
      <c r="G221" s="119"/>
      <c r="H221" s="119"/>
      <c r="I221" s="119"/>
      <c r="J221" s="119"/>
      <c r="K221" s="119"/>
      <c r="L221" s="119"/>
      <c r="M221" s="119"/>
      <c r="N221" s="119"/>
      <c r="O221" s="119"/>
      <c r="P221" s="119"/>
      <c r="Q221" s="119"/>
      <c r="R221" s="119"/>
      <c r="S221" s="160">
        <f t="shared" si="3"/>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c r="C222" s="3"/>
      <c r="D222" s="71"/>
      <c r="E222" s="71"/>
      <c r="F222" s="148"/>
      <c r="G222" s="119"/>
      <c r="H222" s="119"/>
      <c r="I222" s="119"/>
      <c r="J222" s="119"/>
      <c r="K222" s="119"/>
      <c r="L222" s="119"/>
      <c r="M222" s="119"/>
      <c r="N222" s="119"/>
      <c r="O222" s="119"/>
      <c r="P222" s="119"/>
      <c r="Q222" s="119"/>
      <c r="R222" s="119"/>
      <c r="S222" s="160">
        <f t="shared" si="3"/>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c r="C223" s="3"/>
      <c r="D223" s="71"/>
      <c r="E223" s="71"/>
      <c r="F223" s="148"/>
      <c r="G223" s="119"/>
      <c r="H223" s="119"/>
      <c r="I223" s="119"/>
      <c r="J223" s="119"/>
      <c r="K223" s="119"/>
      <c r="L223" s="119"/>
      <c r="M223" s="119"/>
      <c r="N223" s="119"/>
      <c r="O223" s="119"/>
      <c r="P223" s="119"/>
      <c r="Q223" s="119"/>
      <c r="R223" s="119"/>
      <c r="S223" s="160">
        <f t="shared" si="3"/>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c r="C224" s="3"/>
      <c r="D224" s="71"/>
      <c r="E224" s="71"/>
      <c r="F224" s="148"/>
      <c r="G224" s="119"/>
      <c r="H224" s="119"/>
      <c r="I224" s="119"/>
      <c r="J224" s="119"/>
      <c r="K224" s="119"/>
      <c r="L224" s="119"/>
      <c r="M224" s="119"/>
      <c r="N224" s="119"/>
      <c r="O224" s="119"/>
      <c r="P224" s="119"/>
      <c r="Q224" s="119"/>
      <c r="R224" s="119"/>
      <c r="S224" s="160">
        <f t="shared" si="3"/>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c r="C225" s="3"/>
      <c r="D225" s="71"/>
      <c r="E225" s="71"/>
      <c r="F225" s="148"/>
      <c r="G225" s="119"/>
      <c r="H225" s="119"/>
      <c r="I225" s="119"/>
      <c r="J225" s="119"/>
      <c r="K225" s="119"/>
      <c r="L225" s="119"/>
      <c r="M225" s="119"/>
      <c r="N225" s="119"/>
      <c r="O225" s="119"/>
      <c r="P225" s="119"/>
      <c r="Q225" s="119"/>
      <c r="R225" s="119"/>
      <c r="S225" s="160">
        <f t="shared" si="3"/>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c r="C226" s="3"/>
      <c r="D226" s="71"/>
      <c r="E226" s="71"/>
      <c r="F226" s="148"/>
      <c r="G226" s="119"/>
      <c r="H226" s="119"/>
      <c r="I226" s="119"/>
      <c r="J226" s="119"/>
      <c r="K226" s="119"/>
      <c r="L226" s="119"/>
      <c r="M226" s="119"/>
      <c r="N226" s="119"/>
      <c r="O226" s="119"/>
      <c r="P226" s="119"/>
      <c r="Q226" s="119"/>
      <c r="R226" s="119"/>
      <c r="S226" s="160">
        <f t="shared" si="3"/>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c r="C227" s="3"/>
      <c r="D227" s="71"/>
      <c r="E227" s="71"/>
      <c r="F227" s="148"/>
      <c r="G227" s="119"/>
      <c r="H227" s="119"/>
      <c r="I227" s="119"/>
      <c r="J227" s="119"/>
      <c r="K227" s="119"/>
      <c r="L227" s="119"/>
      <c r="M227" s="119"/>
      <c r="N227" s="119"/>
      <c r="O227" s="119"/>
      <c r="P227" s="119"/>
      <c r="Q227" s="119"/>
      <c r="R227" s="119"/>
      <c r="S227" s="160">
        <f t="shared" si="3"/>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c r="C228" s="3"/>
      <c r="D228" s="71"/>
      <c r="E228" s="71"/>
      <c r="F228" s="148"/>
      <c r="G228" s="119"/>
      <c r="H228" s="119"/>
      <c r="I228" s="119"/>
      <c r="J228" s="119"/>
      <c r="K228" s="119"/>
      <c r="L228" s="119"/>
      <c r="M228" s="119"/>
      <c r="N228" s="119"/>
      <c r="O228" s="119"/>
      <c r="P228" s="119"/>
      <c r="Q228" s="119"/>
      <c r="R228" s="119"/>
      <c r="S228" s="160">
        <f t="shared" si="3"/>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c r="C229" s="3"/>
      <c r="D229" s="71"/>
      <c r="E229" s="71"/>
      <c r="F229" s="148"/>
      <c r="G229" s="119"/>
      <c r="H229" s="119"/>
      <c r="I229" s="119"/>
      <c r="J229" s="119"/>
      <c r="K229" s="119"/>
      <c r="L229" s="119"/>
      <c r="M229" s="119"/>
      <c r="N229" s="119"/>
      <c r="O229" s="119"/>
      <c r="P229" s="119"/>
      <c r="Q229" s="119"/>
      <c r="R229" s="119"/>
      <c r="S229" s="160">
        <f t="shared" si="3"/>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c r="C230" s="3"/>
      <c r="D230" s="71"/>
      <c r="E230" s="71"/>
      <c r="F230" s="148"/>
      <c r="G230" s="119"/>
      <c r="H230" s="119"/>
      <c r="I230" s="119"/>
      <c r="J230" s="119"/>
      <c r="K230" s="119"/>
      <c r="L230" s="119"/>
      <c r="M230" s="119"/>
      <c r="N230" s="119"/>
      <c r="O230" s="119"/>
      <c r="P230" s="119"/>
      <c r="Q230" s="119"/>
      <c r="R230" s="119"/>
      <c r="S230" s="160">
        <f t="shared" si="3"/>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c r="C231" s="3"/>
      <c r="D231" s="71"/>
      <c r="E231" s="71"/>
      <c r="F231" s="148"/>
      <c r="G231" s="119"/>
      <c r="H231" s="119"/>
      <c r="I231" s="119"/>
      <c r="J231" s="119"/>
      <c r="K231" s="119"/>
      <c r="L231" s="119"/>
      <c r="M231" s="119"/>
      <c r="N231" s="119"/>
      <c r="O231" s="119"/>
      <c r="P231" s="119"/>
      <c r="Q231" s="119"/>
      <c r="R231" s="119"/>
      <c r="S231" s="160">
        <f t="shared" si="3"/>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c r="C232" s="3"/>
      <c r="D232" s="71"/>
      <c r="E232" s="71"/>
      <c r="F232" s="148"/>
      <c r="G232" s="119"/>
      <c r="H232" s="119"/>
      <c r="I232" s="119"/>
      <c r="J232" s="119"/>
      <c r="K232" s="119"/>
      <c r="L232" s="119"/>
      <c r="M232" s="119"/>
      <c r="N232" s="119"/>
      <c r="O232" s="119"/>
      <c r="P232" s="119"/>
      <c r="Q232" s="119"/>
      <c r="R232" s="119"/>
      <c r="S232" s="160">
        <f t="shared" si="3"/>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c r="C233" s="3"/>
      <c r="D233" s="71"/>
      <c r="E233" s="71"/>
      <c r="F233" s="148"/>
      <c r="G233" s="119"/>
      <c r="H233" s="119"/>
      <c r="I233" s="119"/>
      <c r="J233" s="119"/>
      <c r="K233" s="119"/>
      <c r="L233" s="119"/>
      <c r="M233" s="119"/>
      <c r="N233" s="119"/>
      <c r="O233" s="119"/>
      <c r="P233" s="119"/>
      <c r="Q233" s="119"/>
      <c r="R233" s="119"/>
      <c r="S233" s="160">
        <f t="shared" si="3"/>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c r="C234" s="3"/>
      <c r="D234" s="71"/>
      <c r="E234" s="71"/>
      <c r="F234" s="148"/>
      <c r="G234" s="119"/>
      <c r="H234" s="119"/>
      <c r="I234" s="119"/>
      <c r="J234" s="119"/>
      <c r="K234" s="119"/>
      <c r="L234" s="119"/>
      <c r="M234" s="119"/>
      <c r="N234" s="119"/>
      <c r="O234" s="119"/>
      <c r="P234" s="119"/>
      <c r="Q234" s="119"/>
      <c r="R234" s="119"/>
      <c r="S234" s="160">
        <f t="shared" si="3"/>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c r="C235" s="3"/>
      <c r="D235" s="71"/>
      <c r="E235" s="71"/>
      <c r="F235" s="148"/>
      <c r="G235" s="119"/>
      <c r="H235" s="119"/>
      <c r="I235" s="119"/>
      <c r="J235" s="119"/>
      <c r="K235" s="119"/>
      <c r="L235" s="119"/>
      <c r="M235" s="119"/>
      <c r="N235" s="119"/>
      <c r="O235" s="119"/>
      <c r="P235" s="119"/>
      <c r="Q235" s="119"/>
      <c r="R235" s="119"/>
      <c r="S235" s="160">
        <f t="shared" si="3"/>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c r="C236" s="3"/>
      <c r="D236" s="71"/>
      <c r="E236" s="71"/>
      <c r="F236" s="148"/>
      <c r="G236" s="119"/>
      <c r="H236" s="119"/>
      <c r="I236" s="119"/>
      <c r="J236" s="119"/>
      <c r="K236" s="119"/>
      <c r="L236" s="119"/>
      <c r="M236" s="119"/>
      <c r="N236" s="119"/>
      <c r="O236" s="119"/>
      <c r="P236" s="119"/>
      <c r="Q236" s="119"/>
      <c r="R236" s="119"/>
      <c r="S236" s="160">
        <f t="shared" si="3"/>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c r="C237" s="3"/>
      <c r="D237" s="71"/>
      <c r="E237" s="71"/>
      <c r="F237" s="148"/>
      <c r="G237" s="119"/>
      <c r="H237" s="119"/>
      <c r="I237" s="119"/>
      <c r="J237" s="119"/>
      <c r="K237" s="119"/>
      <c r="L237" s="119"/>
      <c r="M237" s="119"/>
      <c r="N237" s="119"/>
      <c r="O237" s="119"/>
      <c r="P237" s="119"/>
      <c r="Q237" s="119"/>
      <c r="R237" s="119"/>
      <c r="S237" s="160">
        <f t="shared" si="3"/>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c r="C238" s="3"/>
      <c r="D238" s="71"/>
      <c r="E238" s="71"/>
      <c r="F238" s="148"/>
      <c r="G238" s="119"/>
      <c r="H238" s="119"/>
      <c r="I238" s="119"/>
      <c r="J238" s="119"/>
      <c r="K238" s="119"/>
      <c r="L238" s="119"/>
      <c r="M238" s="119"/>
      <c r="N238" s="119"/>
      <c r="O238" s="119"/>
      <c r="P238" s="119"/>
      <c r="Q238" s="119"/>
      <c r="R238" s="119"/>
      <c r="S238" s="160">
        <f t="shared" si="3"/>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c r="C239" s="3"/>
      <c r="D239" s="71"/>
      <c r="E239" s="71"/>
      <c r="F239" s="148"/>
      <c r="G239" s="119"/>
      <c r="H239" s="119"/>
      <c r="I239" s="119"/>
      <c r="J239" s="119"/>
      <c r="K239" s="119"/>
      <c r="L239" s="119"/>
      <c r="M239" s="119"/>
      <c r="N239" s="119"/>
      <c r="O239" s="119"/>
      <c r="P239" s="119"/>
      <c r="Q239" s="119"/>
      <c r="R239" s="119"/>
      <c r="S239" s="160">
        <f t="shared" si="3"/>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c r="C240" s="3"/>
      <c r="D240" s="71"/>
      <c r="E240" s="71"/>
      <c r="F240" s="148"/>
      <c r="G240" s="119"/>
      <c r="H240" s="119"/>
      <c r="I240" s="119"/>
      <c r="J240" s="119"/>
      <c r="K240" s="119"/>
      <c r="L240" s="119"/>
      <c r="M240" s="119"/>
      <c r="N240" s="119"/>
      <c r="O240" s="119"/>
      <c r="P240" s="119"/>
      <c r="Q240" s="119"/>
      <c r="R240" s="119"/>
      <c r="S240" s="160">
        <f t="shared" si="3"/>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c r="C241" s="3"/>
      <c r="D241" s="71"/>
      <c r="E241" s="71"/>
      <c r="F241" s="148"/>
      <c r="G241" s="119"/>
      <c r="H241" s="119"/>
      <c r="I241" s="119"/>
      <c r="J241" s="119"/>
      <c r="K241" s="119"/>
      <c r="L241" s="119"/>
      <c r="M241" s="119"/>
      <c r="N241" s="119"/>
      <c r="O241" s="119"/>
      <c r="P241" s="119"/>
      <c r="Q241" s="119"/>
      <c r="R241" s="119"/>
      <c r="S241" s="160">
        <f t="shared" si="3"/>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c r="C242" s="3"/>
      <c r="D242" s="71"/>
      <c r="E242" s="71"/>
      <c r="F242" s="148"/>
      <c r="G242" s="119"/>
      <c r="H242" s="119"/>
      <c r="I242" s="119"/>
      <c r="J242" s="119"/>
      <c r="K242" s="119"/>
      <c r="L242" s="119"/>
      <c r="M242" s="119"/>
      <c r="N242" s="119"/>
      <c r="O242" s="119"/>
      <c r="P242" s="119"/>
      <c r="Q242" s="119"/>
      <c r="R242" s="119"/>
      <c r="S242" s="160">
        <f t="shared" si="3"/>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c r="C243" s="3"/>
      <c r="D243" s="71"/>
      <c r="E243" s="71"/>
      <c r="F243" s="148"/>
      <c r="G243" s="119"/>
      <c r="H243" s="119"/>
      <c r="I243" s="119"/>
      <c r="J243" s="119"/>
      <c r="K243" s="119"/>
      <c r="L243" s="119"/>
      <c r="M243" s="119"/>
      <c r="N243" s="119"/>
      <c r="O243" s="119"/>
      <c r="P243" s="119"/>
      <c r="Q243" s="119"/>
      <c r="R243" s="119"/>
      <c r="S243" s="160">
        <f t="shared" si="3"/>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c r="C244" s="3"/>
      <c r="D244" s="71"/>
      <c r="E244" s="71"/>
      <c r="F244" s="148"/>
      <c r="G244" s="119"/>
      <c r="H244" s="119"/>
      <c r="I244" s="119"/>
      <c r="J244" s="119"/>
      <c r="K244" s="119"/>
      <c r="L244" s="119"/>
      <c r="M244" s="119"/>
      <c r="N244" s="119"/>
      <c r="O244" s="119"/>
      <c r="P244" s="119"/>
      <c r="Q244" s="119"/>
      <c r="R244" s="119"/>
      <c r="S244" s="160">
        <f t="shared" si="3"/>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c r="C245" s="3"/>
      <c r="D245" s="71"/>
      <c r="E245" s="71"/>
      <c r="F245" s="148"/>
      <c r="G245" s="119"/>
      <c r="H245" s="119"/>
      <c r="I245" s="119"/>
      <c r="J245" s="119"/>
      <c r="K245" s="119"/>
      <c r="L245" s="119"/>
      <c r="M245" s="119"/>
      <c r="N245" s="119"/>
      <c r="O245" s="119"/>
      <c r="P245" s="119"/>
      <c r="Q245" s="119"/>
      <c r="R245" s="119"/>
      <c r="S245" s="160">
        <f t="shared" si="3"/>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c r="C246" s="3"/>
      <c r="D246" s="71"/>
      <c r="E246" s="71"/>
      <c r="F246" s="148"/>
      <c r="G246" s="119"/>
      <c r="H246" s="119"/>
      <c r="I246" s="119"/>
      <c r="J246" s="119"/>
      <c r="K246" s="119"/>
      <c r="L246" s="119"/>
      <c r="M246" s="119"/>
      <c r="N246" s="119"/>
      <c r="O246" s="119"/>
      <c r="P246" s="119"/>
      <c r="Q246" s="119"/>
      <c r="R246" s="119"/>
      <c r="S246" s="160">
        <f t="shared" si="3"/>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c r="C247" s="3"/>
      <c r="D247" s="71"/>
      <c r="E247" s="71"/>
      <c r="F247" s="148"/>
      <c r="G247" s="119"/>
      <c r="H247" s="119"/>
      <c r="I247" s="119"/>
      <c r="J247" s="119"/>
      <c r="K247" s="119"/>
      <c r="L247" s="119"/>
      <c r="M247" s="119"/>
      <c r="N247" s="119"/>
      <c r="O247" s="119"/>
      <c r="P247" s="119"/>
      <c r="Q247" s="119"/>
      <c r="R247" s="119"/>
      <c r="S247" s="160">
        <f t="shared" si="3"/>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c r="C248" s="3"/>
      <c r="D248" s="71"/>
      <c r="E248" s="71"/>
      <c r="F248" s="148"/>
      <c r="G248" s="119"/>
      <c r="H248" s="119"/>
      <c r="I248" s="119"/>
      <c r="J248" s="119"/>
      <c r="K248" s="119"/>
      <c r="L248" s="119"/>
      <c r="M248" s="119"/>
      <c r="N248" s="119"/>
      <c r="O248" s="119"/>
      <c r="P248" s="119"/>
      <c r="Q248" s="119"/>
      <c r="R248" s="119"/>
      <c r="S248" s="160">
        <f t="shared" si="3"/>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c r="C249" s="3"/>
      <c r="D249" s="71"/>
      <c r="E249" s="71"/>
      <c r="F249" s="148"/>
      <c r="G249" s="119"/>
      <c r="H249" s="119"/>
      <c r="I249" s="119"/>
      <c r="J249" s="119"/>
      <c r="K249" s="119"/>
      <c r="L249" s="119"/>
      <c r="M249" s="119"/>
      <c r="N249" s="119"/>
      <c r="O249" s="119"/>
      <c r="P249" s="119"/>
      <c r="Q249" s="119"/>
      <c r="R249" s="119"/>
      <c r="S249" s="160">
        <f t="shared" si="3"/>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c r="C250" s="3"/>
      <c r="D250" s="71"/>
      <c r="E250" s="71"/>
      <c r="F250" s="148"/>
      <c r="G250" s="119"/>
      <c r="H250" s="119"/>
      <c r="I250" s="119"/>
      <c r="J250" s="119"/>
      <c r="K250" s="119"/>
      <c r="L250" s="119"/>
      <c r="M250" s="119"/>
      <c r="N250" s="119"/>
      <c r="O250" s="119"/>
      <c r="P250" s="119"/>
      <c r="Q250" s="119"/>
      <c r="R250" s="119"/>
      <c r="S250" s="160">
        <f t="shared" si="3"/>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c r="C251" s="3"/>
      <c r="D251" s="71"/>
      <c r="E251" s="71"/>
      <c r="F251" s="148"/>
      <c r="G251" s="119"/>
      <c r="H251" s="119"/>
      <c r="I251" s="119"/>
      <c r="J251" s="119"/>
      <c r="K251" s="119"/>
      <c r="L251" s="119"/>
      <c r="M251" s="119"/>
      <c r="N251" s="119"/>
      <c r="O251" s="119"/>
      <c r="P251" s="119"/>
      <c r="Q251" s="119"/>
      <c r="R251" s="119"/>
      <c r="S251" s="160">
        <f t="shared" si="3"/>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c r="C252" s="3"/>
      <c r="D252" s="71"/>
      <c r="E252" s="71"/>
      <c r="F252" s="148"/>
      <c r="G252" s="119"/>
      <c r="H252" s="119"/>
      <c r="I252" s="119"/>
      <c r="J252" s="119"/>
      <c r="K252" s="119"/>
      <c r="L252" s="119"/>
      <c r="M252" s="119"/>
      <c r="N252" s="119"/>
      <c r="O252" s="119"/>
      <c r="P252" s="119"/>
      <c r="Q252" s="119"/>
      <c r="R252" s="119"/>
      <c r="S252" s="160">
        <f t="shared" si="3"/>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c r="C253" s="3"/>
      <c r="D253" s="71"/>
      <c r="E253" s="71"/>
      <c r="F253" s="148"/>
      <c r="G253" s="119"/>
      <c r="H253" s="119"/>
      <c r="I253" s="119"/>
      <c r="J253" s="119"/>
      <c r="K253" s="119"/>
      <c r="L253" s="119"/>
      <c r="M253" s="119"/>
      <c r="N253" s="119"/>
      <c r="O253" s="119"/>
      <c r="P253" s="119"/>
      <c r="Q253" s="119"/>
      <c r="R253" s="119"/>
      <c r="S253" s="160">
        <f t="shared" si="3"/>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c r="C254" s="3"/>
      <c r="D254" s="71"/>
      <c r="E254" s="71"/>
      <c r="F254" s="148"/>
      <c r="G254" s="119"/>
      <c r="H254" s="119"/>
      <c r="I254" s="119"/>
      <c r="J254" s="119"/>
      <c r="K254" s="119"/>
      <c r="L254" s="119"/>
      <c r="M254" s="119"/>
      <c r="N254" s="119"/>
      <c r="O254" s="119"/>
      <c r="P254" s="119"/>
      <c r="Q254" s="119"/>
      <c r="R254" s="119"/>
      <c r="S254" s="160">
        <f t="shared" si="3"/>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c r="C255" s="3"/>
      <c r="D255" s="71"/>
      <c r="E255" s="71"/>
      <c r="F255" s="148"/>
      <c r="G255" s="119"/>
      <c r="H255" s="119"/>
      <c r="I255" s="119"/>
      <c r="J255" s="119"/>
      <c r="K255" s="119"/>
      <c r="L255" s="119"/>
      <c r="M255" s="119"/>
      <c r="N255" s="119"/>
      <c r="O255" s="119"/>
      <c r="P255" s="119"/>
      <c r="Q255" s="119"/>
      <c r="R255" s="119"/>
      <c r="S255" s="160">
        <f t="shared" si="3"/>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c r="C256" s="3"/>
      <c r="D256" s="71"/>
      <c r="E256" s="71"/>
      <c r="F256" s="148"/>
      <c r="G256" s="119"/>
      <c r="H256" s="119"/>
      <c r="I256" s="119"/>
      <c r="J256" s="119"/>
      <c r="K256" s="119"/>
      <c r="L256" s="119"/>
      <c r="M256" s="119"/>
      <c r="N256" s="119"/>
      <c r="O256" s="119"/>
      <c r="P256" s="119"/>
      <c r="Q256" s="119"/>
      <c r="R256" s="119"/>
      <c r="S256" s="160">
        <f t="shared" si="3"/>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c r="C257" s="3"/>
      <c r="D257" s="71"/>
      <c r="E257" s="71"/>
      <c r="F257" s="148"/>
      <c r="G257" s="119"/>
      <c r="H257" s="119"/>
      <c r="I257" s="119"/>
      <c r="J257" s="119"/>
      <c r="K257" s="119"/>
      <c r="L257" s="119"/>
      <c r="M257" s="119"/>
      <c r="N257" s="119"/>
      <c r="O257" s="119"/>
      <c r="P257" s="119"/>
      <c r="Q257" s="119"/>
      <c r="R257" s="119"/>
      <c r="S257" s="160">
        <f t="shared" si="3"/>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c r="C258" s="3"/>
      <c r="D258" s="71"/>
      <c r="E258" s="71"/>
      <c r="F258" s="148"/>
      <c r="G258" s="119"/>
      <c r="H258" s="119"/>
      <c r="I258" s="119"/>
      <c r="J258" s="119"/>
      <c r="K258" s="119"/>
      <c r="L258" s="119"/>
      <c r="M258" s="119"/>
      <c r="N258" s="119"/>
      <c r="O258" s="119"/>
      <c r="P258" s="119"/>
      <c r="Q258" s="119"/>
      <c r="R258" s="119"/>
      <c r="S258" s="160">
        <f t="shared" si="3"/>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c r="C259" s="3"/>
      <c r="D259" s="71"/>
      <c r="E259" s="71"/>
      <c r="F259" s="148"/>
      <c r="G259" s="119"/>
      <c r="H259" s="119"/>
      <c r="I259" s="119"/>
      <c r="J259" s="119"/>
      <c r="K259" s="119"/>
      <c r="L259" s="119"/>
      <c r="M259" s="119"/>
      <c r="N259" s="119"/>
      <c r="O259" s="119"/>
      <c r="P259" s="119"/>
      <c r="Q259" s="119"/>
      <c r="R259" s="119"/>
      <c r="S259" s="160">
        <f t="shared" si="3"/>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c r="C260" s="3"/>
      <c r="D260" s="71"/>
      <c r="E260" s="71"/>
      <c r="F260" s="148"/>
      <c r="G260" s="119"/>
      <c r="H260" s="119"/>
      <c r="I260" s="119"/>
      <c r="J260" s="119"/>
      <c r="K260" s="119"/>
      <c r="L260" s="119"/>
      <c r="M260" s="119"/>
      <c r="N260" s="119"/>
      <c r="O260" s="119"/>
      <c r="P260" s="119"/>
      <c r="Q260" s="119"/>
      <c r="R260" s="119"/>
      <c r="S260" s="160">
        <f t="shared" si="3"/>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c r="C261" s="3"/>
      <c r="D261" s="71"/>
      <c r="E261" s="71"/>
      <c r="F261" s="148"/>
      <c r="G261" s="119"/>
      <c r="H261" s="119"/>
      <c r="I261" s="119"/>
      <c r="J261" s="119"/>
      <c r="K261" s="119"/>
      <c r="L261" s="119"/>
      <c r="M261" s="119"/>
      <c r="N261" s="119"/>
      <c r="O261" s="119"/>
      <c r="P261" s="119"/>
      <c r="Q261" s="119"/>
      <c r="R261" s="119"/>
      <c r="S261" s="160">
        <f t="shared" si="3"/>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c r="C262" s="3"/>
      <c r="D262" s="71"/>
      <c r="E262" s="71"/>
      <c r="F262" s="148"/>
      <c r="G262" s="119"/>
      <c r="H262" s="119"/>
      <c r="I262" s="119"/>
      <c r="J262" s="119"/>
      <c r="K262" s="119"/>
      <c r="L262" s="119"/>
      <c r="M262" s="119"/>
      <c r="N262" s="119"/>
      <c r="O262" s="119"/>
      <c r="P262" s="119"/>
      <c r="Q262" s="119"/>
      <c r="R262" s="119"/>
      <c r="S262" s="160">
        <f t="shared" si="3"/>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c r="C263" s="3"/>
      <c r="D263" s="71"/>
      <c r="E263" s="71"/>
      <c r="F263" s="148"/>
      <c r="G263" s="119"/>
      <c r="H263" s="119"/>
      <c r="I263" s="119"/>
      <c r="J263" s="119"/>
      <c r="K263" s="119"/>
      <c r="L263" s="119"/>
      <c r="M263" s="119"/>
      <c r="N263" s="119"/>
      <c r="O263" s="119"/>
      <c r="P263" s="119"/>
      <c r="Q263" s="119"/>
      <c r="R263" s="119"/>
      <c r="S263" s="160">
        <f t="shared" ref="S263:S326" si="4">((P263*10000/39.1)+(Q263*10000/23)-(R263*10000/35.5))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c r="C264" s="3"/>
      <c r="D264" s="71"/>
      <c r="E264" s="71"/>
      <c r="F264" s="148"/>
      <c r="G264" s="119"/>
      <c r="H264" s="119"/>
      <c r="I264" s="119"/>
      <c r="J264" s="119"/>
      <c r="K264" s="119"/>
      <c r="L264" s="119"/>
      <c r="M264" s="119"/>
      <c r="N264" s="119"/>
      <c r="O264" s="119"/>
      <c r="P264" s="119"/>
      <c r="Q264" s="119"/>
      <c r="R264" s="119"/>
      <c r="S264" s="160">
        <f t="shared" si="4"/>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c r="C265" s="3"/>
      <c r="D265" s="71"/>
      <c r="E265" s="71"/>
      <c r="F265" s="148"/>
      <c r="G265" s="119"/>
      <c r="H265" s="119"/>
      <c r="I265" s="119"/>
      <c r="J265" s="119"/>
      <c r="K265" s="119"/>
      <c r="L265" s="119"/>
      <c r="M265" s="119"/>
      <c r="N265" s="119"/>
      <c r="O265" s="119"/>
      <c r="P265" s="119"/>
      <c r="Q265" s="119"/>
      <c r="R265" s="119"/>
      <c r="S265" s="160">
        <f t="shared" si="4"/>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c r="C266" s="3"/>
      <c r="D266" s="71"/>
      <c r="E266" s="71"/>
      <c r="F266" s="148"/>
      <c r="G266" s="119"/>
      <c r="H266" s="119"/>
      <c r="I266" s="119"/>
      <c r="J266" s="119"/>
      <c r="K266" s="119"/>
      <c r="L266" s="119"/>
      <c r="M266" s="119"/>
      <c r="N266" s="119"/>
      <c r="O266" s="119"/>
      <c r="P266" s="119"/>
      <c r="Q266" s="119"/>
      <c r="R266" s="119"/>
      <c r="S266" s="160">
        <f t="shared" si="4"/>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c r="C267" s="3"/>
      <c r="D267" s="71"/>
      <c r="E267" s="71"/>
      <c r="F267" s="148"/>
      <c r="G267" s="119"/>
      <c r="H267" s="119"/>
      <c r="I267" s="119"/>
      <c r="J267" s="119"/>
      <c r="K267" s="119"/>
      <c r="L267" s="119"/>
      <c r="M267" s="119"/>
      <c r="N267" s="119"/>
      <c r="O267" s="119"/>
      <c r="P267" s="119"/>
      <c r="Q267" s="119"/>
      <c r="R267" s="119"/>
      <c r="S267" s="160">
        <f t="shared" si="4"/>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c r="C268" s="3"/>
      <c r="D268" s="71"/>
      <c r="E268" s="71"/>
      <c r="F268" s="148"/>
      <c r="G268" s="119"/>
      <c r="H268" s="119"/>
      <c r="I268" s="119"/>
      <c r="J268" s="119"/>
      <c r="K268" s="119"/>
      <c r="L268" s="119"/>
      <c r="M268" s="119"/>
      <c r="N268" s="119"/>
      <c r="O268" s="119"/>
      <c r="P268" s="119"/>
      <c r="Q268" s="119"/>
      <c r="R268" s="119"/>
      <c r="S268" s="160">
        <f t="shared" si="4"/>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c r="C269" s="3"/>
      <c r="D269" s="71"/>
      <c r="E269" s="71"/>
      <c r="F269" s="148"/>
      <c r="G269" s="119"/>
      <c r="H269" s="119"/>
      <c r="I269" s="119"/>
      <c r="J269" s="119"/>
      <c r="K269" s="119"/>
      <c r="L269" s="119"/>
      <c r="M269" s="119"/>
      <c r="N269" s="119"/>
      <c r="O269" s="119"/>
      <c r="P269" s="119"/>
      <c r="Q269" s="119"/>
      <c r="R269" s="119"/>
      <c r="S269" s="160">
        <f t="shared" si="4"/>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c r="C270" s="3"/>
      <c r="D270" s="71"/>
      <c r="E270" s="71"/>
      <c r="F270" s="148"/>
      <c r="G270" s="119"/>
      <c r="H270" s="119"/>
      <c r="I270" s="119"/>
      <c r="J270" s="119"/>
      <c r="K270" s="119"/>
      <c r="L270" s="119"/>
      <c r="M270" s="119"/>
      <c r="N270" s="119"/>
      <c r="O270" s="119"/>
      <c r="P270" s="119"/>
      <c r="Q270" s="119"/>
      <c r="R270" s="119"/>
      <c r="S270" s="160">
        <f t="shared" si="4"/>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c r="C271" s="3"/>
      <c r="D271" s="71"/>
      <c r="E271" s="71"/>
      <c r="F271" s="148"/>
      <c r="G271" s="119"/>
      <c r="H271" s="119"/>
      <c r="I271" s="119"/>
      <c r="J271" s="119"/>
      <c r="K271" s="119"/>
      <c r="L271" s="119"/>
      <c r="M271" s="119"/>
      <c r="N271" s="119"/>
      <c r="O271" s="119"/>
      <c r="P271" s="119"/>
      <c r="Q271" s="119"/>
      <c r="R271" s="119"/>
      <c r="S271" s="160">
        <f t="shared" si="4"/>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c r="C272" s="3"/>
      <c r="D272" s="71"/>
      <c r="E272" s="71"/>
      <c r="F272" s="148"/>
      <c r="G272" s="119"/>
      <c r="H272" s="119"/>
      <c r="I272" s="119"/>
      <c r="J272" s="119"/>
      <c r="K272" s="119"/>
      <c r="L272" s="119"/>
      <c r="M272" s="119"/>
      <c r="N272" s="119"/>
      <c r="O272" s="119"/>
      <c r="P272" s="119"/>
      <c r="Q272" s="119"/>
      <c r="R272" s="119"/>
      <c r="S272" s="160">
        <f t="shared" si="4"/>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c r="C273" s="3"/>
      <c r="D273" s="71"/>
      <c r="E273" s="71"/>
      <c r="F273" s="148"/>
      <c r="G273" s="119"/>
      <c r="H273" s="119"/>
      <c r="I273" s="119"/>
      <c r="J273" s="119"/>
      <c r="K273" s="119"/>
      <c r="L273" s="119"/>
      <c r="M273" s="119"/>
      <c r="N273" s="119"/>
      <c r="O273" s="119"/>
      <c r="P273" s="119"/>
      <c r="Q273" s="119"/>
      <c r="R273" s="119"/>
      <c r="S273" s="160">
        <f t="shared" si="4"/>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c r="C274" s="3"/>
      <c r="D274" s="71"/>
      <c r="E274" s="71"/>
      <c r="F274" s="148"/>
      <c r="G274" s="119"/>
      <c r="H274" s="119"/>
      <c r="I274" s="119"/>
      <c r="J274" s="119"/>
      <c r="K274" s="119"/>
      <c r="L274" s="119"/>
      <c r="M274" s="119"/>
      <c r="N274" s="119"/>
      <c r="O274" s="119"/>
      <c r="P274" s="119"/>
      <c r="Q274" s="119"/>
      <c r="R274" s="119"/>
      <c r="S274" s="160">
        <f t="shared" si="4"/>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c r="C275" s="3"/>
      <c r="D275" s="71"/>
      <c r="E275" s="71"/>
      <c r="F275" s="148"/>
      <c r="G275" s="119"/>
      <c r="H275" s="119"/>
      <c r="I275" s="119"/>
      <c r="J275" s="119"/>
      <c r="K275" s="119"/>
      <c r="L275" s="119"/>
      <c r="M275" s="119"/>
      <c r="N275" s="119"/>
      <c r="O275" s="119"/>
      <c r="P275" s="119"/>
      <c r="Q275" s="119"/>
      <c r="R275" s="119"/>
      <c r="S275" s="160">
        <f t="shared" si="4"/>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c r="C276" s="3"/>
      <c r="D276" s="71"/>
      <c r="E276" s="71"/>
      <c r="F276" s="148"/>
      <c r="G276" s="119"/>
      <c r="H276" s="119"/>
      <c r="I276" s="119"/>
      <c r="J276" s="119"/>
      <c r="K276" s="119"/>
      <c r="L276" s="119"/>
      <c r="M276" s="119"/>
      <c r="N276" s="119"/>
      <c r="O276" s="119"/>
      <c r="P276" s="119"/>
      <c r="Q276" s="119"/>
      <c r="R276" s="119"/>
      <c r="S276" s="160">
        <f t="shared" si="4"/>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c r="C277" s="3"/>
      <c r="D277" s="71"/>
      <c r="E277" s="71"/>
      <c r="F277" s="148"/>
      <c r="G277" s="119"/>
      <c r="H277" s="119"/>
      <c r="I277" s="119"/>
      <c r="J277" s="119"/>
      <c r="K277" s="119"/>
      <c r="L277" s="119"/>
      <c r="M277" s="119"/>
      <c r="N277" s="119"/>
      <c r="O277" s="119"/>
      <c r="P277" s="119"/>
      <c r="Q277" s="119"/>
      <c r="R277" s="119"/>
      <c r="S277" s="160">
        <f t="shared" si="4"/>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c r="C278" s="3"/>
      <c r="D278" s="71"/>
      <c r="E278" s="71"/>
      <c r="F278" s="148"/>
      <c r="G278" s="119"/>
      <c r="H278" s="119"/>
      <c r="I278" s="119"/>
      <c r="J278" s="119"/>
      <c r="K278" s="119"/>
      <c r="L278" s="119"/>
      <c r="M278" s="119"/>
      <c r="N278" s="119"/>
      <c r="O278" s="119"/>
      <c r="P278" s="119"/>
      <c r="Q278" s="119"/>
      <c r="R278" s="119"/>
      <c r="S278" s="160">
        <f t="shared" si="4"/>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c r="C279" s="3"/>
      <c r="D279" s="71"/>
      <c r="E279" s="71"/>
      <c r="F279" s="148"/>
      <c r="G279" s="119"/>
      <c r="H279" s="119"/>
      <c r="I279" s="119"/>
      <c r="J279" s="119"/>
      <c r="K279" s="119"/>
      <c r="L279" s="119"/>
      <c r="M279" s="119"/>
      <c r="N279" s="119"/>
      <c r="O279" s="119"/>
      <c r="P279" s="119"/>
      <c r="Q279" s="119"/>
      <c r="R279" s="119"/>
      <c r="S279" s="160">
        <f t="shared" si="4"/>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c r="C280" s="3"/>
      <c r="D280" s="71"/>
      <c r="E280" s="71"/>
      <c r="F280" s="148"/>
      <c r="G280" s="119"/>
      <c r="H280" s="119"/>
      <c r="I280" s="119"/>
      <c r="J280" s="119"/>
      <c r="K280" s="119"/>
      <c r="L280" s="119"/>
      <c r="M280" s="119"/>
      <c r="N280" s="119"/>
      <c r="O280" s="119"/>
      <c r="P280" s="119"/>
      <c r="Q280" s="119"/>
      <c r="R280" s="119"/>
      <c r="S280" s="160">
        <f t="shared" si="4"/>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c r="C281" s="3"/>
      <c r="D281" s="71"/>
      <c r="E281" s="71"/>
      <c r="F281" s="148"/>
      <c r="G281" s="119"/>
      <c r="H281" s="119"/>
      <c r="I281" s="119"/>
      <c r="J281" s="119"/>
      <c r="K281" s="119"/>
      <c r="L281" s="119"/>
      <c r="M281" s="119"/>
      <c r="N281" s="119"/>
      <c r="O281" s="119"/>
      <c r="P281" s="119"/>
      <c r="Q281" s="119"/>
      <c r="R281" s="119"/>
      <c r="S281" s="160">
        <f t="shared" si="4"/>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c r="C282" s="3"/>
      <c r="D282" s="71"/>
      <c r="E282" s="71"/>
      <c r="F282" s="148"/>
      <c r="G282" s="119"/>
      <c r="H282" s="119"/>
      <c r="I282" s="119"/>
      <c r="J282" s="119"/>
      <c r="K282" s="119"/>
      <c r="L282" s="119"/>
      <c r="M282" s="119"/>
      <c r="N282" s="119"/>
      <c r="O282" s="119"/>
      <c r="P282" s="119"/>
      <c r="Q282" s="119"/>
      <c r="R282" s="119"/>
      <c r="S282" s="160">
        <f t="shared" si="4"/>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c r="C283" s="3"/>
      <c r="D283" s="71"/>
      <c r="E283" s="71"/>
      <c r="F283" s="148"/>
      <c r="G283" s="119"/>
      <c r="H283" s="119"/>
      <c r="I283" s="119"/>
      <c r="J283" s="119"/>
      <c r="K283" s="119"/>
      <c r="L283" s="119"/>
      <c r="M283" s="119"/>
      <c r="N283" s="119"/>
      <c r="O283" s="119"/>
      <c r="P283" s="119"/>
      <c r="Q283" s="119"/>
      <c r="R283" s="119"/>
      <c r="S283" s="160">
        <f t="shared" si="4"/>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c r="C284" s="3"/>
      <c r="D284" s="71"/>
      <c r="E284" s="71"/>
      <c r="F284" s="148"/>
      <c r="G284" s="119"/>
      <c r="H284" s="119"/>
      <c r="I284" s="119"/>
      <c r="J284" s="119"/>
      <c r="K284" s="119"/>
      <c r="L284" s="119"/>
      <c r="M284" s="119"/>
      <c r="N284" s="119"/>
      <c r="O284" s="119"/>
      <c r="P284" s="119"/>
      <c r="Q284" s="119"/>
      <c r="R284" s="119"/>
      <c r="S284" s="160">
        <f t="shared" si="4"/>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c r="C285" s="3"/>
      <c r="D285" s="71"/>
      <c r="E285" s="71"/>
      <c r="F285" s="148"/>
      <c r="G285" s="119"/>
      <c r="H285" s="119"/>
      <c r="I285" s="119"/>
      <c r="J285" s="119"/>
      <c r="K285" s="119"/>
      <c r="L285" s="119"/>
      <c r="M285" s="119"/>
      <c r="N285" s="119"/>
      <c r="O285" s="119"/>
      <c r="P285" s="119"/>
      <c r="Q285" s="119"/>
      <c r="R285" s="119"/>
      <c r="S285" s="160">
        <f t="shared" si="4"/>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c r="C286" s="3"/>
      <c r="D286" s="71"/>
      <c r="E286" s="71"/>
      <c r="F286" s="148"/>
      <c r="G286" s="119"/>
      <c r="H286" s="119"/>
      <c r="I286" s="119"/>
      <c r="J286" s="119"/>
      <c r="K286" s="119"/>
      <c r="L286" s="119"/>
      <c r="M286" s="119"/>
      <c r="N286" s="119"/>
      <c r="O286" s="119"/>
      <c r="P286" s="119"/>
      <c r="Q286" s="119"/>
      <c r="R286" s="119"/>
      <c r="S286" s="160">
        <f t="shared" si="4"/>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c r="C287" s="3"/>
      <c r="D287" s="71"/>
      <c r="E287" s="71"/>
      <c r="F287" s="148"/>
      <c r="G287" s="119"/>
      <c r="H287" s="119"/>
      <c r="I287" s="119"/>
      <c r="J287" s="119"/>
      <c r="K287" s="119"/>
      <c r="L287" s="119"/>
      <c r="M287" s="119"/>
      <c r="N287" s="119"/>
      <c r="O287" s="119"/>
      <c r="P287" s="119"/>
      <c r="Q287" s="119"/>
      <c r="R287" s="119"/>
      <c r="S287" s="160">
        <f t="shared" si="4"/>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c r="C288" s="3"/>
      <c r="D288" s="71"/>
      <c r="E288" s="71"/>
      <c r="F288" s="148"/>
      <c r="G288" s="119"/>
      <c r="H288" s="119"/>
      <c r="I288" s="119"/>
      <c r="J288" s="119"/>
      <c r="K288" s="119"/>
      <c r="L288" s="119"/>
      <c r="M288" s="119"/>
      <c r="N288" s="119"/>
      <c r="O288" s="119"/>
      <c r="P288" s="119"/>
      <c r="Q288" s="119"/>
      <c r="R288" s="119"/>
      <c r="S288" s="160">
        <f t="shared" si="4"/>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c r="C289" s="3"/>
      <c r="D289" s="71"/>
      <c r="E289" s="71"/>
      <c r="F289" s="148"/>
      <c r="G289" s="119"/>
      <c r="H289" s="119"/>
      <c r="I289" s="119"/>
      <c r="J289" s="119"/>
      <c r="K289" s="119"/>
      <c r="L289" s="119"/>
      <c r="M289" s="119"/>
      <c r="N289" s="119"/>
      <c r="O289" s="119"/>
      <c r="P289" s="119"/>
      <c r="Q289" s="119"/>
      <c r="R289" s="119"/>
      <c r="S289" s="160">
        <f t="shared" si="4"/>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c r="C290" s="3"/>
      <c r="D290" s="71"/>
      <c r="E290" s="71"/>
      <c r="F290" s="148"/>
      <c r="G290" s="119"/>
      <c r="H290" s="119"/>
      <c r="I290" s="119"/>
      <c r="J290" s="119"/>
      <c r="K290" s="119"/>
      <c r="L290" s="119"/>
      <c r="M290" s="119"/>
      <c r="N290" s="119"/>
      <c r="O290" s="119"/>
      <c r="P290" s="119"/>
      <c r="Q290" s="119"/>
      <c r="R290" s="119"/>
      <c r="S290" s="160">
        <f t="shared" si="4"/>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c r="C291" s="3"/>
      <c r="D291" s="71"/>
      <c r="E291" s="71"/>
      <c r="F291" s="148"/>
      <c r="G291" s="119"/>
      <c r="H291" s="119"/>
      <c r="I291" s="119"/>
      <c r="J291" s="119"/>
      <c r="K291" s="119"/>
      <c r="L291" s="119"/>
      <c r="M291" s="119"/>
      <c r="N291" s="119"/>
      <c r="O291" s="119"/>
      <c r="P291" s="119"/>
      <c r="Q291" s="119"/>
      <c r="R291" s="119"/>
      <c r="S291" s="160">
        <f t="shared" si="4"/>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c r="C292" s="3"/>
      <c r="D292" s="71"/>
      <c r="E292" s="71"/>
      <c r="F292" s="148"/>
      <c r="G292" s="119"/>
      <c r="H292" s="119"/>
      <c r="I292" s="119"/>
      <c r="J292" s="119"/>
      <c r="K292" s="119"/>
      <c r="L292" s="119"/>
      <c r="M292" s="119"/>
      <c r="N292" s="119"/>
      <c r="O292" s="119"/>
      <c r="P292" s="119"/>
      <c r="Q292" s="119"/>
      <c r="R292" s="119"/>
      <c r="S292" s="160">
        <f t="shared" si="4"/>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c r="C293" s="3"/>
      <c r="D293" s="71"/>
      <c r="E293" s="71"/>
      <c r="F293" s="148"/>
      <c r="G293" s="119"/>
      <c r="H293" s="119"/>
      <c r="I293" s="119"/>
      <c r="J293" s="119"/>
      <c r="K293" s="119"/>
      <c r="L293" s="119"/>
      <c r="M293" s="119"/>
      <c r="N293" s="119"/>
      <c r="O293" s="119"/>
      <c r="P293" s="119"/>
      <c r="Q293" s="119"/>
      <c r="R293" s="119"/>
      <c r="S293" s="160">
        <f t="shared" si="4"/>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c r="C294" s="3"/>
      <c r="D294" s="71"/>
      <c r="E294" s="71"/>
      <c r="F294" s="148"/>
      <c r="G294" s="119"/>
      <c r="H294" s="119"/>
      <c r="I294" s="119"/>
      <c r="J294" s="119"/>
      <c r="K294" s="119"/>
      <c r="L294" s="119"/>
      <c r="M294" s="119"/>
      <c r="N294" s="119"/>
      <c r="O294" s="119"/>
      <c r="P294" s="119"/>
      <c r="Q294" s="119"/>
      <c r="R294" s="119"/>
      <c r="S294" s="160">
        <f t="shared" si="4"/>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c r="C295" s="3"/>
      <c r="D295" s="71"/>
      <c r="E295" s="71"/>
      <c r="F295" s="148"/>
      <c r="G295" s="119"/>
      <c r="H295" s="119"/>
      <c r="I295" s="119"/>
      <c r="J295" s="119"/>
      <c r="K295" s="119"/>
      <c r="L295" s="119"/>
      <c r="M295" s="119"/>
      <c r="N295" s="119"/>
      <c r="O295" s="119"/>
      <c r="P295" s="119"/>
      <c r="Q295" s="119"/>
      <c r="R295" s="119"/>
      <c r="S295" s="160">
        <f t="shared" si="4"/>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c r="C296" s="3"/>
      <c r="D296" s="71"/>
      <c r="E296" s="71"/>
      <c r="F296" s="148"/>
      <c r="G296" s="119"/>
      <c r="H296" s="119"/>
      <c r="I296" s="119"/>
      <c r="J296" s="119"/>
      <c r="K296" s="119"/>
      <c r="L296" s="119"/>
      <c r="M296" s="119"/>
      <c r="N296" s="119"/>
      <c r="O296" s="119"/>
      <c r="P296" s="119"/>
      <c r="Q296" s="119"/>
      <c r="R296" s="119"/>
      <c r="S296" s="160">
        <f t="shared" si="4"/>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c r="C297" s="3"/>
      <c r="D297" s="71"/>
      <c r="E297" s="71"/>
      <c r="F297" s="148"/>
      <c r="G297" s="119"/>
      <c r="H297" s="119"/>
      <c r="I297" s="119"/>
      <c r="J297" s="119"/>
      <c r="K297" s="119"/>
      <c r="L297" s="119"/>
      <c r="M297" s="119"/>
      <c r="N297" s="119"/>
      <c r="O297" s="119"/>
      <c r="P297" s="119"/>
      <c r="Q297" s="119"/>
      <c r="R297" s="119"/>
      <c r="S297" s="160">
        <f t="shared" si="4"/>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c r="C298" s="3"/>
      <c r="D298" s="71"/>
      <c r="E298" s="71"/>
      <c r="F298" s="148"/>
      <c r="G298" s="119"/>
      <c r="H298" s="119"/>
      <c r="I298" s="119"/>
      <c r="J298" s="119"/>
      <c r="K298" s="119"/>
      <c r="L298" s="119"/>
      <c r="M298" s="119"/>
      <c r="N298" s="119"/>
      <c r="O298" s="119"/>
      <c r="P298" s="119"/>
      <c r="Q298" s="119"/>
      <c r="R298" s="119"/>
      <c r="S298" s="160">
        <f t="shared" si="4"/>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c r="C299" s="3"/>
      <c r="D299" s="71"/>
      <c r="E299" s="71"/>
      <c r="F299" s="148"/>
      <c r="G299" s="119"/>
      <c r="H299" s="119"/>
      <c r="I299" s="119"/>
      <c r="J299" s="119"/>
      <c r="K299" s="119"/>
      <c r="L299" s="119"/>
      <c r="M299" s="119"/>
      <c r="N299" s="119"/>
      <c r="O299" s="119"/>
      <c r="P299" s="119"/>
      <c r="Q299" s="119"/>
      <c r="R299" s="119"/>
      <c r="S299" s="160">
        <f t="shared" si="4"/>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c r="C300" s="3"/>
      <c r="D300" s="71"/>
      <c r="E300" s="71"/>
      <c r="F300" s="148"/>
      <c r="G300" s="119"/>
      <c r="H300" s="119"/>
      <c r="I300" s="119"/>
      <c r="J300" s="119"/>
      <c r="K300" s="119"/>
      <c r="L300" s="119"/>
      <c r="M300" s="119"/>
      <c r="N300" s="119"/>
      <c r="O300" s="119"/>
      <c r="P300" s="119"/>
      <c r="Q300" s="119"/>
      <c r="R300" s="119"/>
      <c r="S300" s="160">
        <f t="shared" si="4"/>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c r="C301" s="3"/>
      <c r="D301" s="71"/>
      <c r="E301" s="71"/>
      <c r="F301" s="148"/>
      <c r="G301" s="119"/>
      <c r="H301" s="119"/>
      <c r="I301" s="119"/>
      <c r="J301" s="119"/>
      <c r="K301" s="119"/>
      <c r="L301" s="119"/>
      <c r="M301" s="119"/>
      <c r="N301" s="119"/>
      <c r="O301" s="119"/>
      <c r="P301" s="119"/>
      <c r="Q301" s="119"/>
      <c r="R301" s="119"/>
      <c r="S301" s="160">
        <f t="shared" si="4"/>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c r="C302" s="3"/>
      <c r="D302" s="71"/>
      <c r="E302" s="71"/>
      <c r="F302" s="148"/>
      <c r="G302" s="119"/>
      <c r="H302" s="119"/>
      <c r="I302" s="119"/>
      <c r="J302" s="119"/>
      <c r="K302" s="119"/>
      <c r="L302" s="119"/>
      <c r="M302" s="119"/>
      <c r="N302" s="119"/>
      <c r="O302" s="119"/>
      <c r="P302" s="119"/>
      <c r="Q302" s="119"/>
      <c r="R302" s="119"/>
      <c r="S302" s="160">
        <f t="shared" si="4"/>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c r="C303" s="3"/>
      <c r="D303" s="71"/>
      <c r="E303" s="71"/>
      <c r="F303" s="148"/>
      <c r="G303" s="119"/>
      <c r="H303" s="119"/>
      <c r="I303" s="119"/>
      <c r="J303" s="119"/>
      <c r="K303" s="119"/>
      <c r="L303" s="119"/>
      <c r="M303" s="119"/>
      <c r="N303" s="119"/>
      <c r="O303" s="119"/>
      <c r="P303" s="119"/>
      <c r="Q303" s="119"/>
      <c r="R303" s="119"/>
      <c r="S303" s="160">
        <f t="shared" si="4"/>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c r="C304" s="3"/>
      <c r="D304" s="71"/>
      <c r="E304" s="71"/>
      <c r="F304" s="148"/>
      <c r="G304" s="119"/>
      <c r="H304" s="119"/>
      <c r="I304" s="119"/>
      <c r="J304" s="119"/>
      <c r="K304" s="119"/>
      <c r="L304" s="119"/>
      <c r="M304" s="119"/>
      <c r="N304" s="119"/>
      <c r="O304" s="119"/>
      <c r="P304" s="119"/>
      <c r="Q304" s="119"/>
      <c r="R304" s="119"/>
      <c r="S304" s="160">
        <f t="shared" si="4"/>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c r="C305" s="3"/>
      <c r="D305" s="71"/>
      <c r="E305" s="71"/>
      <c r="F305" s="148"/>
      <c r="G305" s="119"/>
      <c r="H305" s="119"/>
      <c r="I305" s="119"/>
      <c r="J305" s="119"/>
      <c r="K305" s="119"/>
      <c r="L305" s="119"/>
      <c r="M305" s="119"/>
      <c r="N305" s="119"/>
      <c r="O305" s="119"/>
      <c r="P305" s="119"/>
      <c r="Q305" s="119"/>
      <c r="R305" s="119"/>
      <c r="S305" s="160">
        <f t="shared" si="4"/>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c r="C306" s="3"/>
      <c r="D306" s="71"/>
      <c r="E306" s="71"/>
      <c r="F306" s="148"/>
      <c r="G306" s="119"/>
      <c r="H306" s="119"/>
      <c r="I306" s="119"/>
      <c r="J306" s="119"/>
      <c r="K306" s="119"/>
      <c r="L306" s="119"/>
      <c r="M306" s="119"/>
      <c r="N306" s="119"/>
      <c r="O306" s="119"/>
      <c r="P306" s="119"/>
      <c r="Q306" s="119"/>
      <c r="R306" s="119"/>
      <c r="S306" s="160">
        <f t="shared" si="4"/>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c r="C307" s="3"/>
      <c r="D307" s="71"/>
      <c r="E307" s="71"/>
      <c r="F307" s="148"/>
      <c r="G307" s="119"/>
      <c r="H307" s="119"/>
      <c r="I307" s="119"/>
      <c r="J307" s="119"/>
      <c r="K307" s="119"/>
      <c r="L307" s="119"/>
      <c r="M307" s="119"/>
      <c r="N307" s="119"/>
      <c r="O307" s="119"/>
      <c r="P307" s="119"/>
      <c r="Q307" s="119"/>
      <c r="R307" s="119"/>
      <c r="S307" s="160">
        <f t="shared" si="4"/>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c r="C308" s="3"/>
      <c r="D308" s="71"/>
      <c r="E308" s="71"/>
      <c r="F308" s="148"/>
      <c r="G308" s="119"/>
      <c r="H308" s="119"/>
      <c r="I308" s="119"/>
      <c r="J308" s="119"/>
      <c r="K308" s="119"/>
      <c r="L308" s="119"/>
      <c r="M308" s="119"/>
      <c r="N308" s="119"/>
      <c r="O308" s="119"/>
      <c r="P308" s="119"/>
      <c r="Q308" s="119"/>
      <c r="R308" s="119"/>
      <c r="S308" s="160">
        <f t="shared" si="4"/>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c r="C309" s="3"/>
      <c r="D309" s="71"/>
      <c r="E309" s="71"/>
      <c r="F309" s="148"/>
      <c r="G309" s="119"/>
      <c r="H309" s="119"/>
      <c r="I309" s="119"/>
      <c r="J309" s="119"/>
      <c r="K309" s="119"/>
      <c r="L309" s="119"/>
      <c r="M309" s="119"/>
      <c r="N309" s="119"/>
      <c r="O309" s="119"/>
      <c r="P309" s="119"/>
      <c r="Q309" s="119"/>
      <c r="R309" s="119"/>
      <c r="S309" s="160">
        <f t="shared" si="4"/>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c r="C310" s="3"/>
      <c r="D310" s="71"/>
      <c r="E310" s="71"/>
      <c r="F310" s="148"/>
      <c r="G310" s="119"/>
      <c r="H310" s="119"/>
      <c r="I310" s="119"/>
      <c r="J310" s="119"/>
      <c r="K310" s="119"/>
      <c r="L310" s="119"/>
      <c r="M310" s="119"/>
      <c r="N310" s="119"/>
      <c r="O310" s="119"/>
      <c r="P310" s="119"/>
      <c r="Q310" s="119"/>
      <c r="R310" s="119"/>
      <c r="S310" s="160">
        <f t="shared" si="4"/>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c r="C311" s="3"/>
      <c r="D311" s="71"/>
      <c r="E311" s="71"/>
      <c r="F311" s="148"/>
      <c r="G311" s="119"/>
      <c r="H311" s="119"/>
      <c r="I311" s="119"/>
      <c r="J311" s="119"/>
      <c r="K311" s="119"/>
      <c r="L311" s="119"/>
      <c r="M311" s="119"/>
      <c r="N311" s="119"/>
      <c r="O311" s="119"/>
      <c r="P311" s="119"/>
      <c r="Q311" s="119"/>
      <c r="R311" s="119"/>
      <c r="S311" s="160">
        <f t="shared" si="4"/>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c r="C312" s="3"/>
      <c r="D312" s="71"/>
      <c r="E312" s="71"/>
      <c r="F312" s="148"/>
      <c r="G312" s="119"/>
      <c r="H312" s="119"/>
      <c r="I312" s="119"/>
      <c r="J312" s="119"/>
      <c r="K312" s="119"/>
      <c r="L312" s="119"/>
      <c r="M312" s="119"/>
      <c r="N312" s="119"/>
      <c r="O312" s="119"/>
      <c r="P312" s="119"/>
      <c r="Q312" s="119"/>
      <c r="R312" s="119"/>
      <c r="S312" s="160">
        <f t="shared" si="4"/>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c r="C313" s="3"/>
      <c r="D313" s="71"/>
      <c r="E313" s="71"/>
      <c r="F313" s="148"/>
      <c r="G313" s="119"/>
      <c r="H313" s="119"/>
      <c r="I313" s="119"/>
      <c r="J313" s="119"/>
      <c r="K313" s="119"/>
      <c r="L313" s="119"/>
      <c r="M313" s="119"/>
      <c r="N313" s="119"/>
      <c r="O313" s="119"/>
      <c r="P313" s="119"/>
      <c r="Q313" s="119"/>
      <c r="R313" s="119"/>
      <c r="S313" s="160">
        <f t="shared" si="4"/>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c r="C314" s="3"/>
      <c r="D314" s="71"/>
      <c r="E314" s="71"/>
      <c r="F314" s="148"/>
      <c r="G314" s="119"/>
      <c r="H314" s="119"/>
      <c r="I314" s="119"/>
      <c r="J314" s="119"/>
      <c r="K314" s="119"/>
      <c r="L314" s="119"/>
      <c r="M314" s="119"/>
      <c r="N314" s="119"/>
      <c r="O314" s="119"/>
      <c r="P314" s="119"/>
      <c r="Q314" s="119"/>
      <c r="R314" s="119"/>
      <c r="S314" s="160">
        <f t="shared" si="4"/>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c r="C315" s="3"/>
      <c r="D315" s="71"/>
      <c r="E315" s="71"/>
      <c r="F315" s="148"/>
      <c r="G315" s="119"/>
      <c r="H315" s="119"/>
      <c r="I315" s="119"/>
      <c r="J315" s="119"/>
      <c r="K315" s="119"/>
      <c r="L315" s="119"/>
      <c r="M315" s="119"/>
      <c r="N315" s="119"/>
      <c r="O315" s="119"/>
      <c r="P315" s="119"/>
      <c r="Q315" s="119"/>
      <c r="R315" s="119"/>
      <c r="S315" s="160">
        <f t="shared" si="4"/>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c r="C316" s="3"/>
      <c r="D316" s="71"/>
      <c r="E316" s="71"/>
      <c r="F316" s="148"/>
      <c r="G316" s="119"/>
      <c r="H316" s="119"/>
      <c r="I316" s="119"/>
      <c r="J316" s="119"/>
      <c r="K316" s="119"/>
      <c r="L316" s="119"/>
      <c r="M316" s="119"/>
      <c r="N316" s="119"/>
      <c r="O316" s="119"/>
      <c r="P316" s="119"/>
      <c r="Q316" s="119"/>
      <c r="R316" s="119"/>
      <c r="S316" s="160">
        <f t="shared" si="4"/>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c r="C317" s="3"/>
      <c r="D317" s="71"/>
      <c r="E317" s="71"/>
      <c r="F317" s="148"/>
      <c r="G317" s="119"/>
      <c r="H317" s="119"/>
      <c r="I317" s="119"/>
      <c r="J317" s="119"/>
      <c r="K317" s="119"/>
      <c r="L317" s="119"/>
      <c r="M317" s="119"/>
      <c r="N317" s="119"/>
      <c r="O317" s="119"/>
      <c r="P317" s="119"/>
      <c r="Q317" s="119"/>
      <c r="R317" s="119"/>
      <c r="S317" s="160">
        <f t="shared" si="4"/>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c r="C318" s="3"/>
      <c r="D318" s="71"/>
      <c r="E318" s="71"/>
      <c r="F318" s="148"/>
      <c r="G318" s="119"/>
      <c r="H318" s="119"/>
      <c r="I318" s="119"/>
      <c r="J318" s="119"/>
      <c r="K318" s="119"/>
      <c r="L318" s="119"/>
      <c r="M318" s="119"/>
      <c r="N318" s="119"/>
      <c r="O318" s="119"/>
      <c r="P318" s="119"/>
      <c r="Q318" s="119"/>
      <c r="R318" s="119"/>
      <c r="S318" s="160">
        <f t="shared" si="4"/>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c r="C319" s="3"/>
      <c r="D319" s="71"/>
      <c r="E319" s="71"/>
      <c r="F319" s="148"/>
      <c r="G319" s="119"/>
      <c r="H319" s="119"/>
      <c r="I319" s="119"/>
      <c r="J319" s="119"/>
      <c r="K319" s="119"/>
      <c r="L319" s="119"/>
      <c r="M319" s="119"/>
      <c r="N319" s="119"/>
      <c r="O319" s="119"/>
      <c r="P319" s="119"/>
      <c r="Q319" s="119"/>
      <c r="R319" s="119"/>
      <c r="S319" s="160">
        <f t="shared" si="4"/>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c r="C320" s="3"/>
      <c r="D320" s="71"/>
      <c r="E320" s="71"/>
      <c r="F320" s="148"/>
      <c r="G320" s="119"/>
      <c r="H320" s="119"/>
      <c r="I320" s="119"/>
      <c r="J320" s="119"/>
      <c r="K320" s="119"/>
      <c r="L320" s="119"/>
      <c r="M320" s="119"/>
      <c r="N320" s="119"/>
      <c r="O320" s="119"/>
      <c r="P320" s="119"/>
      <c r="Q320" s="119"/>
      <c r="R320" s="119"/>
      <c r="S320" s="160">
        <f t="shared" si="4"/>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c r="C321" s="3"/>
      <c r="D321" s="71"/>
      <c r="E321" s="71"/>
      <c r="F321" s="148"/>
      <c r="G321" s="119"/>
      <c r="H321" s="119"/>
      <c r="I321" s="119"/>
      <c r="J321" s="119"/>
      <c r="K321" s="119"/>
      <c r="L321" s="119"/>
      <c r="M321" s="119"/>
      <c r="N321" s="119"/>
      <c r="O321" s="119"/>
      <c r="P321" s="119"/>
      <c r="Q321" s="119"/>
      <c r="R321" s="119"/>
      <c r="S321" s="160">
        <f t="shared" si="4"/>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c r="C322" s="3"/>
      <c r="D322" s="71"/>
      <c r="E322" s="71"/>
      <c r="F322" s="148"/>
      <c r="G322" s="119"/>
      <c r="H322" s="119"/>
      <c r="I322" s="119"/>
      <c r="J322" s="119"/>
      <c r="K322" s="119"/>
      <c r="L322" s="119"/>
      <c r="M322" s="119"/>
      <c r="N322" s="119"/>
      <c r="O322" s="119"/>
      <c r="P322" s="119"/>
      <c r="Q322" s="119"/>
      <c r="R322" s="119"/>
      <c r="S322" s="160">
        <f t="shared" si="4"/>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c r="C323" s="3"/>
      <c r="D323" s="71"/>
      <c r="E323" s="71"/>
      <c r="F323" s="148"/>
      <c r="G323" s="119"/>
      <c r="H323" s="119"/>
      <c r="I323" s="119"/>
      <c r="J323" s="119"/>
      <c r="K323" s="119"/>
      <c r="L323" s="119"/>
      <c r="M323" s="119"/>
      <c r="N323" s="119"/>
      <c r="O323" s="119"/>
      <c r="P323" s="119"/>
      <c r="Q323" s="119"/>
      <c r="R323" s="119"/>
      <c r="S323" s="160">
        <f t="shared" si="4"/>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c r="C324" s="3"/>
      <c r="D324" s="71"/>
      <c r="E324" s="71"/>
      <c r="F324" s="148"/>
      <c r="G324" s="119"/>
      <c r="H324" s="119"/>
      <c r="I324" s="119"/>
      <c r="J324" s="119"/>
      <c r="K324" s="119"/>
      <c r="L324" s="119"/>
      <c r="M324" s="119"/>
      <c r="N324" s="119"/>
      <c r="O324" s="119"/>
      <c r="P324" s="119"/>
      <c r="Q324" s="119"/>
      <c r="R324" s="119"/>
      <c r="S324" s="160">
        <f t="shared" si="4"/>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c r="C325" s="3"/>
      <c r="D325" s="71"/>
      <c r="E325" s="71"/>
      <c r="F325" s="148"/>
      <c r="G325" s="119"/>
      <c r="H325" s="119"/>
      <c r="I325" s="119"/>
      <c r="J325" s="119"/>
      <c r="K325" s="119"/>
      <c r="L325" s="119"/>
      <c r="M325" s="119"/>
      <c r="N325" s="119"/>
      <c r="O325" s="119"/>
      <c r="P325" s="119"/>
      <c r="Q325" s="119"/>
      <c r="R325" s="119"/>
      <c r="S325" s="160">
        <f t="shared" si="4"/>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c r="C326" s="3"/>
      <c r="D326" s="71"/>
      <c r="E326" s="71"/>
      <c r="F326" s="148"/>
      <c r="G326" s="119"/>
      <c r="H326" s="119"/>
      <c r="I326" s="119"/>
      <c r="J326" s="119"/>
      <c r="K326" s="119"/>
      <c r="L326" s="119"/>
      <c r="M326" s="119"/>
      <c r="N326" s="119"/>
      <c r="O326" s="119"/>
      <c r="P326" s="119"/>
      <c r="Q326" s="119"/>
      <c r="R326" s="119"/>
      <c r="S326" s="160">
        <f t="shared" si="4"/>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c r="C327" s="3"/>
      <c r="D327" s="71"/>
      <c r="E327" s="71"/>
      <c r="F327" s="148"/>
      <c r="G327" s="119"/>
      <c r="H327" s="119"/>
      <c r="I327" s="119"/>
      <c r="J327" s="119"/>
      <c r="K327" s="119"/>
      <c r="L327" s="119"/>
      <c r="M327" s="119"/>
      <c r="N327" s="119"/>
      <c r="O327" s="119"/>
      <c r="P327" s="119"/>
      <c r="Q327" s="119"/>
      <c r="R327" s="119"/>
      <c r="S327" s="160">
        <f t="shared" ref="S327:S390" si="5">((P327*10000/39.1)+(Q327*10000/23)-(R327*10000/35.5))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c r="C328" s="3"/>
      <c r="D328" s="71"/>
      <c r="E328" s="71"/>
      <c r="F328" s="148"/>
      <c r="G328" s="119"/>
      <c r="H328" s="119"/>
      <c r="I328" s="119"/>
      <c r="J328" s="119"/>
      <c r="K328" s="119"/>
      <c r="L328" s="119"/>
      <c r="M328" s="119"/>
      <c r="N328" s="119"/>
      <c r="O328" s="119"/>
      <c r="P328" s="119"/>
      <c r="Q328" s="119"/>
      <c r="R328" s="119"/>
      <c r="S328" s="160">
        <f t="shared" si="5"/>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c r="C329" s="3"/>
      <c r="D329" s="71"/>
      <c r="E329" s="71"/>
      <c r="F329" s="148"/>
      <c r="G329" s="119"/>
      <c r="H329" s="119"/>
      <c r="I329" s="119"/>
      <c r="J329" s="119"/>
      <c r="K329" s="119"/>
      <c r="L329" s="119"/>
      <c r="M329" s="119"/>
      <c r="N329" s="119"/>
      <c r="O329" s="119"/>
      <c r="P329" s="119"/>
      <c r="Q329" s="119"/>
      <c r="R329" s="119"/>
      <c r="S329" s="160">
        <f t="shared" si="5"/>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c r="C330" s="3"/>
      <c r="D330" s="71"/>
      <c r="E330" s="71"/>
      <c r="F330" s="148"/>
      <c r="G330" s="119"/>
      <c r="H330" s="119"/>
      <c r="I330" s="119"/>
      <c r="J330" s="119"/>
      <c r="K330" s="119"/>
      <c r="L330" s="119"/>
      <c r="M330" s="119"/>
      <c r="N330" s="119"/>
      <c r="O330" s="119"/>
      <c r="P330" s="119"/>
      <c r="Q330" s="119"/>
      <c r="R330" s="119"/>
      <c r="S330" s="160">
        <f t="shared" si="5"/>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c r="C331" s="3"/>
      <c r="D331" s="71"/>
      <c r="E331" s="71"/>
      <c r="F331" s="148"/>
      <c r="G331" s="119"/>
      <c r="H331" s="119"/>
      <c r="I331" s="119"/>
      <c r="J331" s="119"/>
      <c r="K331" s="119"/>
      <c r="L331" s="119"/>
      <c r="M331" s="119"/>
      <c r="N331" s="119"/>
      <c r="O331" s="119"/>
      <c r="P331" s="119"/>
      <c r="Q331" s="119"/>
      <c r="R331" s="119"/>
      <c r="S331" s="160">
        <f t="shared" si="5"/>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c r="C332" s="3"/>
      <c r="D332" s="71"/>
      <c r="E332" s="71"/>
      <c r="F332" s="148"/>
      <c r="G332" s="119"/>
      <c r="H332" s="119"/>
      <c r="I332" s="119"/>
      <c r="J332" s="119"/>
      <c r="K332" s="119"/>
      <c r="L332" s="119"/>
      <c r="M332" s="119"/>
      <c r="N332" s="119"/>
      <c r="O332" s="119"/>
      <c r="P332" s="119"/>
      <c r="Q332" s="119"/>
      <c r="R332" s="119"/>
      <c r="S332" s="160">
        <f t="shared" si="5"/>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c r="C333" s="3"/>
      <c r="D333" s="71"/>
      <c r="E333" s="71"/>
      <c r="F333" s="148"/>
      <c r="G333" s="119"/>
      <c r="H333" s="119"/>
      <c r="I333" s="119"/>
      <c r="J333" s="119"/>
      <c r="K333" s="119"/>
      <c r="L333" s="119"/>
      <c r="M333" s="119"/>
      <c r="N333" s="119"/>
      <c r="O333" s="119"/>
      <c r="P333" s="119"/>
      <c r="Q333" s="119"/>
      <c r="R333" s="119"/>
      <c r="S333" s="160">
        <f t="shared" si="5"/>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c r="C334" s="3"/>
      <c r="D334" s="71"/>
      <c r="E334" s="71"/>
      <c r="F334" s="148"/>
      <c r="G334" s="119"/>
      <c r="H334" s="119"/>
      <c r="I334" s="119"/>
      <c r="J334" s="119"/>
      <c r="K334" s="119"/>
      <c r="L334" s="119"/>
      <c r="M334" s="119"/>
      <c r="N334" s="119"/>
      <c r="O334" s="119"/>
      <c r="P334" s="119"/>
      <c r="Q334" s="119"/>
      <c r="R334" s="119"/>
      <c r="S334" s="160">
        <f t="shared" si="5"/>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c r="C335" s="3"/>
      <c r="D335" s="71"/>
      <c r="E335" s="71"/>
      <c r="F335" s="148"/>
      <c r="G335" s="119"/>
      <c r="H335" s="119"/>
      <c r="I335" s="119"/>
      <c r="J335" s="119"/>
      <c r="K335" s="119"/>
      <c r="L335" s="119"/>
      <c r="M335" s="119"/>
      <c r="N335" s="119"/>
      <c r="O335" s="119"/>
      <c r="P335" s="119"/>
      <c r="Q335" s="119"/>
      <c r="R335" s="119"/>
      <c r="S335" s="160">
        <f t="shared" si="5"/>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c r="C336" s="3"/>
      <c r="D336" s="71"/>
      <c r="E336" s="71"/>
      <c r="F336" s="148"/>
      <c r="G336" s="119"/>
      <c r="H336" s="119"/>
      <c r="I336" s="119"/>
      <c r="J336" s="119"/>
      <c r="K336" s="119"/>
      <c r="L336" s="119"/>
      <c r="M336" s="119"/>
      <c r="N336" s="119"/>
      <c r="O336" s="119"/>
      <c r="P336" s="119"/>
      <c r="Q336" s="119"/>
      <c r="R336" s="119"/>
      <c r="S336" s="160">
        <f t="shared" si="5"/>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c r="C337" s="3"/>
      <c r="D337" s="71"/>
      <c r="E337" s="71"/>
      <c r="F337" s="148"/>
      <c r="G337" s="119"/>
      <c r="H337" s="119"/>
      <c r="I337" s="119"/>
      <c r="J337" s="119"/>
      <c r="K337" s="119"/>
      <c r="L337" s="119"/>
      <c r="M337" s="119"/>
      <c r="N337" s="119"/>
      <c r="O337" s="119"/>
      <c r="P337" s="119"/>
      <c r="Q337" s="119"/>
      <c r="R337" s="119"/>
      <c r="S337" s="160">
        <f t="shared" si="5"/>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c r="C338" s="3"/>
      <c r="D338" s="71"/>
      <c r="E338" s="71"/>
      <c r="F338" s="148"/>
      <c r="G338" s="119"/>
      <c r="H338" s="119"/>
      <c r="I338" s="119"/>
      <c r="J338" s="119"/>
      <c r="K338" s="119"/>
      <c r="L338" s="119"/>
      <c r="M338" s="119"/>
      <c r="N338" s="119"/>
      <c r="O338" s="119"/>
      <c r="P338" s="119"/>
      <c r="Q338" s="119"/>
      <c r="R338" s="119"/>
      <c r="S338" s="160">
        <f t="shared" si="5"/>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c r="C339" s="3"/>
      <c r="D339" s="71"/>
      <c r="E339" s="71"/>
      <c r="F339" s="148"/>
      <c r="G339" s="119"/>
      <c r="H339" s="119"/>
      <c r="I339" s="119"/>
      <c r="J339" s="119"/>
      <c r="K339" s="119"/>
      <c r="L339" s="119"/>
      <c r="M339" s="119"/>
      <c r="N339" s="119"/>
      <c r="O339" s="119"/>
      <c r="P339" s="119"/>
      <c r="Q339" s="119"/>
      <c r="R339" s="119"/>
      <c r="S339" s="160">
        <f t="shared" si="5"/>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c r="C340" s="3"/>
      <c r="D340" s="71"/>
      <c r="E340" s="71"/>
      <c r="F340" s="148"/>
      <c r="G340" s="119"/>
      <c r="H340" s="119"/>
      <c r="I340" s="119"/>
      <c r="J340" s="119"/>
      <c r="K340" s="119"/>
      <c r="L340" s="119"/>
      <c r="M340" s="119"/>
      <c r="N340" s="119"/>
      <c r="O340" s="119"/>
      <c r="P340" s="119"/>
      <c r="Q340" s="119"/>
      <c r="R340" s="119"/>
      <c r="S340" s="160">
        <f t="shared" si="5"/>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c r="C341" s="3"/>
      <c r="D341" s="71"/>
      <c r="E341" s="71"/>
      <c r="F341" s="148"/>
      <c r="G341" s="119"/>
      <c r="H341" s="119"/>
      <c r="I341" s="119"/>
      <c r="J341" s="119"/>
      <c r="K341" s="119"/>
      <c r="L341" s="119"/>
      <c r="M341" s="119"/>
      <c r="N341" s="119"/>
      <c r="O341" s="119"/>
      <c r="P341" s="119"/>
      <c r="Q341" s="119"/>
      <c r="R341" s="119"/>
      <c r="S341" s="160">
        <f t="shared" si="5"/>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c r="C342" s="3"/>
      <c r="D342" s="71"/>
      <c r="E342" s="71"/>
      <c r="F342" s="148"/>
      <c r="G342" s="119"/>
      <c r="H342" s="119"/>
      <c r="I342" s="119"/>
      <c r="J342" s="119"/>
      <c r="K342" s="119"/>
      <c r="L342" s="119"/>
      <c r="M342" s="119"/>
      <c r="N342" s="119"/>
      <c r="O342" s="119"/>
      <c r="P342" s="119"/>
      <c r="Q342" s="119"/>
      <c r="R342" s="119"/>
      <c r="S342" s="160">
        <f t="shared" si="5"/>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c r="C343" s="3"/>
      <c r="D343" s="71"/>
      <c r="E343" s="71"/>
      <c r="F343" s="148"/>
      <c r="G343" s="119"/>
      <c r="H343" s="119"/>
      <c r="I343" s="119"/>
      <c r="J343" s="119"/>
      <c r="K343" s="119"/>
      <c r="L343" s="119"/>
      <c r="M343" s="119"/>
      <c r="N343" s="119"/>
      <c r="O343" s="119"/>
      <c r="P343" s="119"/>
      <c r="Q343" s="119"/>
      <c r="R343" s="119"/>
      <c r="S343" s="160">
        <f t="shared" si="5"/>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c r="C344" s="3"/>
      <c r="D344" s="71"/>
      <c r="E344" s="71"/>
      <c r="F344" s="148"/>
      <c r="G344" s="119"/>
      <c r="H344" s="119"/>
      <c r="I344" s="119"/>
      <c r="J344" s="119"/>
      <c r="K344" s="119"/>
      <c r="L344" s="119"/>
      <c r="M344" s="119"/>
      <c r="N344" s="119"/>
      <c r="O344" s="119"/>
      <c r="P344" s="119"/>
      <c r="Q344" s="119"/>
      <c r="R344" s="119"/>
      <c r="S344" s="160">
        <f t="shared" si="5"/>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c r="C345" s="3"/>
      <c r="D345" s="71"/>
      <c r="E345" s="71"/>
      <c r="F345" s="148"/>
      <c r="G345" s="119"/>
      <c r="H345" s="119"/>
      <c r="I345" s="119"/>
      <c r="J345" s="119"/>
      <c r="K345" s="119"/>
      <c r="L345" s="119"/>
      <c r="M345" s="119"/>
      <c r="N345" s="119"/>
      <c r="O345" s="119"/>
      <c r="P345" s="119"/>
      <c r="Q345" s="119"/>
      <c r="R345" s="119"/>
      <c r="S345" s="160">
        <f t="shared" si="5"/>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c r="C346" s="3"/>
      <c r="D346" s="71"/>
      <c r="E346" s="71"/>
      <c r="F346" s="148"/>
      <c r="G346" s="119"/>
      <c r="H346" s="119"/>
      <c r="I346" s="119"/>
      <c r="J346" s="119"/>
      <c r="K346" s="119"/>
      <c r="L346" s="119"/>
      <c r="M346" s="119"/>
      <c r="N346" s="119"/>
      <c r="O346" s="119"/>
      <c r="P346" s="119"/>
      <c r="Q346" s="119"/>
      <c r="R346" s="119"/>
      <c r="S346" s="160">
        <f t="shared" si="5"/>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c r="C347" s="3"/>
      <c r="D347" s="71"/>
      <c r="E347" s="71"/>
      <c r="F347" s="148"/>
      <c r="G347" s="119"/>
      <c r="H347" s="119"/>
      <c r="I347" s="119"/>
      <c r="J347" s="119"/>
      <c r="K347" s="119"/>
      <c r="L347" s="119"/>
      <c r="M347" s="119"/>
      <c r="N347" s="119"/>
      <c r="O347" s="119"/>
      <c r="P347" s="119"/>
      <c r="Q347" s="119"/>
      <c r="R347" s="119"/>
      <c r="S347" s="160">
        <f t="shared" si="5"/>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c r="C348" s="3"/>
      <c r="D348" s="71"/>
      <c r="E348" s="71"/>
      <c r="F348" s="148"/>
      <c r="G348" s="119"/>
      <c r="H348" s="119"/>
      <c r="I348" s="119"/>
      <c r="J348" s="119"/>
      <c r="K348" s="119"/>
      <c r="L348" s="119"/>
      <c r="M348" s="119"/>
      <c r="N348" s="119"/>
      <c r="O348" s="119"/>
      <c r="P348" s="119"/>
      <c r="Q348" s="119"/>
      <c r="R348" s="119"/>
      <c r="S348" s="160">
        <f t="shared" si="5"/>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c r="C349" s="3"/>
      <c r="D349" s="71"/>
      <c r="E349" s="71"/>
      <c r="F349" s="148"/>
      <c r="G349" s="119"/>
      <c r="H349" s="119"/>
      <c r="I349" s="119"/>
      <c r="J349" s="119"/>
      <c r="K349" s="119"/>
      <c r="L349" s="119"/>
      <c r="M349" s="119"/>
      <c r="N349" s="119"/>
      <c r="O349" s="119"/>
      <c r="P349" s="119"/>
      <c r="Q349" s="119"/>
      <c r="R349" s="119"/>
      <c r="S349" s="160">
        <f t="shared" si="5"/>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c r="C350" s="3"/>
      <c r="D350" s="71"/>
      <c r="E350" s="71"/>
      <c r="F350" s="148"/>
      <c r="G350" s="119"/>
      <c r="H350" s="119"/>
      <c r="I350" s="119"/>
      <c r="J350" s="119"/>
      <c r="K350" s="119"/>
      <c r="L350" s="119"/>
      <c r="M350" s="119"/>
      <c r="N350" s="119"/>
      <c r="O350" s="119"/>
      <c r="P350" s="119"/>
      <c r="Q350" s="119"/>
      <c r="R350" s="119"/>
      <c r="S350" s="160">
        <f t="shared" si="5"/>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c r="C351" s="3"/>
      <c r="D351" s="71"/>
      <c r="E351" s="71"/>
      <c r="F351" s="148"/>
      <c r="G351" s="119"/>
      <c r="H351" s="119"/>
      <c r="I351" s="119"/>
      <c r="J351" s="119"/>
      <c r="K351" s="119"/>
      <c r="L351" s="119"/>
      <c r="M351" s="119"/>
      <c r="N351" s="119"/>
      <c r="O351" s="119"/>
      <c r="P351" s="119"/>
      <c r="Q351" s="119"/>
      <c r="R351" s="119"/>
      <c r="S351" s="160">
        <f t="shared" si="5"/>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c r="C352" s="3"/>
      <c r="D352" s="71"/>
      <c r="E352" s="71"/>
      <c r="F352" s="148"/>
      <c r="G352" s="119"/>
      <c r="H352" s="119"/>
      <c r="I352" s="119"/>
      <c r="J352" s="119"/>
      <c r="K352" s="119"/>
      <c r="L352" s="119"/>
      <c r="M352" s="119"/>
      <c r="N352" s="119"/>
      <c r="O352" s="119"/>
      <c r="P352" s="119"/>
      <c r="Q352" s="119"/>
      <c r="R352" s="119"/>
      <c r="S352" s="160">
        <f t="shared" si="5"/>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c r="C353" s="3"/>
      <c r="D353" s="71"/>
      <c r="E353" s="71"/>
      <c r="F353" s="148"/>
      <c r="G353" s="119"/>
      <c r="H353" s="119"/>
      <c r="I353" s="119"/>
      <c r="J353" s="119"/>
      <c r="K353" s="119"/>
      <c r="L353" s="119"/>
      <c r="M353" s="119"/>
      <c r="N353" s="119"/>
      <c r="O353" s="119"/>
      <c r="P353" s="119"/>
      <c r="Q353" s="119"/>
      <c r="R353" s="119"/>
      <c r="S353" s="160">
        <f t="shared" si="5"/>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c r="C354" s="3"/>
      <c r="D354" s="71"/>
      <c r="E354" s="71"/>
      <c r="F354" s="148"/>
      <c r="G354" s="119"/>
      <c r="H354" s="119"/>
      <c r="I354" s="119"/>
      <c r="J354" s="119"/>
      <c r="K354" s="119"/>
      <c r="L354" s="119"/>
      <c r="M354" s="119"/>
      <c r="N354" s="119"/>
      <c r="O354" s="119"/>
      <c r="P354" s="119"/>
      <c r="Q354" s="119"/>
      <c r="R354" s="119"/>
      <c r="S354" s="160">
        <f t="shared" si="5"/>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c r="C355" s="3"/>
      <c r="D355" s="71"/>
      <c r="E355" s="71"/>
      <c r="F355" s="148"/>
      <c r="G355" s="119"/>
      <c r="H355" s="119"/>
      <c r="I355" s="119"/>
      <c r="J355" s="119"/>
      <c r="K355" s="119"/>
      <c r="L355" s="119"/>
      <c r="M355" s="119"/>
      <c r="N355" s="119"/>
      <c r="O355" s="119"/>
      <c r="P355" s="119"/>
      <c r="Q355" s="119"/>
      <c r="R355" s="119"/>
      <c r="S355" s="160">
        <f t="shared" si="5"/>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c r="C356" s="3"/>
      <c r="D356" s="71"/>
      <c r="E356" s="71"/>
      <c r="F356" s="148"/>
      <c r="G356" s="119"/>
      <c r="H356" s="119"/>
      <c r="I356" s="119"/>
      <c r="J356" s="119"/>
      <c r="K356" s="119"/>
      <c r="L356" s="119"/>
      <c r="M356" s="119"/>
      <c r="N356" s="119"/>
      <c r="O356" s="119"/>
      <c r="P356" s="119"/>
      <c r="Q356" s="119"/>
      <c r="R356" s="119"/>
      <c r="S356" s="160">
        <f t="shared" si="5"/>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c r="C357" s="3"/>
      <c r="D357" s="71"/>
      <c r="E357" s="71"/>
      <c r="F357" s="148"/>
      <c r="G357" s="119"/>
      <c r="H357" s="119"/>
      <c r="I357" s="119"/>
      <c r="J357" s="119"/>
      <c r="K357" s="119"/>
      <c r="L357" s="119"/>
      <c r="M357" s="119"/>
      <c r="N357" s="119"/>
      <c r="O357" s="119"/>
      <c r="P357" s="119"/>
      <c r="Q357" s="119"/>
      <c r="R357" s="119"/>
      <c r="S357" s="160">
        <f t="shared" si="5"/>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c r="C358" s="3"/>
      <c r="D358" s="71"/>
      <c r="E358" s="71"/>
      <c r="F358" s="148"/>
      <c r="G358" s="119"/>
      <c r="H358" s="119"/>
      <c r="I358" s="119"/>
      <c r="J358" s="119"/>
      <c r="K358" s="119"/>
      <c r="L358" s="119"/>
      <c r="M358" s="119"/>
      <c r="N358" s="119"/>
      <c r="O358" s="119"/>
      <c r="P358" s="119"/>
      <c r="Q358" s="119"/>
      <c r="R358" s="119"/>
      <c r="S358" s="160">
        <f t="shared" si="5"/>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c r="C359" s="3"/>
      <c r="D359" s="71"/>
      <c r="E359" s="71"/>
      <c r="F359" s="148"/>
      <c r="G359" s="119"/>
      <c r="H359" s="119"/>
      <c r="I359" s="119"/>
      <c r="J359" s="119"/>
      <c r="K359" s="119"/>
      <c r="L359" s="119"/>
      <c r="M359" s="119"/>
      <c r="N359" s="119"/>
      <c r="O359" s="119"/>
      <c r="P359" s="119"/>
      <c r="Q359" s="119"/>
      <c r="R359" s="119"/>
      <c r="S359" s="160">
        <f t="shared" si="5"/>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c r="C360" s="3"/>
      <c r="D360" s="71"/>
      <c r="E360" s="71"/>
      <c r="F360" s="148"/>
      <c r="G360" s="119"/>
      <c r="H360" s="119"/>
      <c r="I360" s="119"/>
      <c r="J360" s="119"/>
      <c r="K360" s="119"/>
      <c r="L360" s="119"/>
      <c r="M360" s="119"/>
      <c r="N360" s="119"/>
      <c r="O360" s="119"/>
      <c r="P360" s="119"/>
      <c r="Q360" s="119"/>
      <c r="R360" s="119"/>
      <c r="S360" s="160">
        <f t="shared" si="5"/>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c r="C361" s="3"/>
      <c r="D361" s="71"/>
      <c r="E361" s="71"/>
      <c r="F361" s="148"/>
      <c r="G361" s="119"/>
      <c r="H361" s="119"/>
      <c r="I361" s="119"/>
      <c r="J361" s="119"/>
      <c r="K361" s="119"/>
      <c r="L361" s="119"/>
      <c r="M361" s="119"/>
      <c r="N361" s="119"/>
      <c r="O361" s="119"/>
      <c r="P361" s="119"/>
      <c r="Q361" s="119"/>
      <c r="R361" s="119"/>
      <c r="S361" s="160">
        <f t="shared" si="5"/>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c r="C362" s="3"/>
      <c r="D362" s="71"/>
      <c r="E362" s="71"/>
      <c r="F362" s="148"/>
      <c r="G362" s="119"/>
      <c r="H362" s="119"/>
      <c r="I362" s="119"/>
      <c r="J362" s="119"/>
      <c r="K362" s="119"/>
      <c r="L362" s="119"/>
      <c r="M362" s="119"/>
      <c r="N362" s="119"/>
      <c r="O362" s="119"/>
      <c r="P362" s="119"/>
      <c r="Q362" s="119"/>
      <c r="R362" s="119"/>
      <c r="S362" s="160">
        <f t="shared" si="5"/>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c r="C363" s="3"/>
      <c r="D363" s="71"/>
      <c r="E363" s="71"/>
      <c r="F363" s="148"/>
      <c r="G363" s="119"/>
      <c r="H363" s="119"/>
      <c r="I363" s="119"/>
      <c r="J363" s="119"/>
      <c r="K363" s="119"/>
      <c r="L363" s="119"/>
      <c r="M363" s="119"/>
      <c r="N363" s="119"/>
      <c r="O363" s="119"/>
      <c r="P363" s="119"/>
      <c r="Q363" s="119"/>
      <c r="R363" s="119"/>
      <c r="S363" s="160">
        <f t="shared" si="5"/>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c r="C364" s="3"/>
      <c r="D364" s="71"/>
      <c r="E364" s="71"/>
      <c r="F364" s="148"/>
      <c r="G364" s="119"/>
      <c r="H364" s="119"/>
      <c r="I364" s="119"/>
      <c r="J364" s="119"/>
      <c r="K364" s="119"/>
      <c r="L364" s="119"/>
      <c r="M364" s="119"/>
      <c r="N364" s="119"/>
      <c r="O364" s="119"/>
      <c r="P364" s="119"/>
      <c r="Q364" s="119"/>
      <c r="R364" s="119"/>
      <c r="S364" s="160">
        <f t="shared" si="5"/>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c r="C365" s="3"/>
      <c r="D365" s="71"/>
      <c r="E365" s="71"/>
      <c r="F365" s="148"/>
      <c r="G365" s="119"/>
      <c r="H365" s="119"/>
      <c r="I365" s="119"/>
      <c r="J365" s="119"/>
      <c r="K365" s="119"/>
      <c r="L365" s="119"/>
      <c r="M365" s="119"/>
      <c r="N365" s="119"/>
      <c r="O365" s="119"/>
      <c r="P365" s="119"/>
      <c r="Q365" s="119"/>
      <c r="R365" s="119"/>
      <c r="S365" s="160">
        <f t="shared" si="5"/>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c r="C366" s="3"/>
      <c r="D366" s="71"/>
      <c r="E366" s="71"/>
      <c r="F366" s="148"/>
      <c r="G366" s="119"/>
      <c r="H366" s="119"/>
      <c r="I366" s="119"/>
      <c r="J366" s="119"/>
      <c r="K366" s="119"/>
      <c r="L366" s="119"/>
      <c r="M366" s="119"/>
      <c r="N366" s="119"/>
      <c r="O366" s="119"/>
      <c r="P366" s="119"/>
      <c r="Q366" s="119"/>
      <c r="R366" s="119"/>
      <c r="S366" s="160">
        <f t="shared" si="5"/>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c r="C367" s="3"/>
      <c r="D367" s="71"/>
      <c r="E367" s="71"/>
      <c r="F367" s="148"/>
      <c r="G367" s="119"/>
      <c r="H367" s="119"/>
      <c r="I367" s="119"/>
      <c r="J367" s="119"/>
      <c r="K367" s="119"/>
      <c r="L367" s="119"/>
      <c r="M367" s="119"/>
      <c r="N367" s="119"/>
      <c r="O367" s="119"/>
      <c r="P367" s="119"/>
      <c r="Q367" s="119"/>
      <c r="R367" s="119"/>
      <c r="S367" s="160">
        <f t="shared" si="5"/>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c r="C368" s="3"/>
      <c r="D368" s="71"/>
      <c r="E368" s="71"/>
      <c r="F368" s="148"/>
      <c r="G368" s="119"/>
      <c r="H368" s="119"/>
      <c r="I368" s="119"/>
      <c r="J368" s="119"/>
      <c r="K368" s="119"/>
      <c r="L368" s="119"/>
      <c r="M368" s="119"/>
      <c r="N368" s="119"/>
      <c r="O368" s="119"/>
      <c r="P368" s="119"/>
      <c r="Q368" s="119"/>
      <c r="R368" s="119"/>
      <c r="S368" s="160">
        <f t="shared" si="5"/>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c r="C369" s="3"/>
      <c r="D369" s="71"/>
      <c r="E369" s="71"/>
      <c r="F369" s="148"/>
      <c r="G369" s="119"/>
      <c r="H369" s="119"/>
      <c r="I369" s="119"/>
      <c r="J369" s="119"/>
      <c r="K369" s="119"/>
      <c r="L369" s="119"/>
      <c r="M369" s="119"/>
      <c r="N369" s="119"/>
      <c r="O369" s="119"/>
      <c r="P369" s="119"/>
      <c r="Q369" s="119"/>
      <c r="R369" s="119"/>
      <c r="S369" s="160">
        <f t="shared" si="5"/>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c r="C370" s="3"/>
      <c r="D370" s="71"/>
      <c r="E370" s="71"/>
      <c r="F370" s="148"/>
      <c r="G370" s="119"/>
      <c r="H370" s="119"/>
      <c r="I370" s="119"/>
      <c r="J370" s="119"/>
      <c r="K370" s="119"/>
      <c r="L370" s="119"/>
      <c r="M370" s="119"/>
      <c r="N370" s="119"/>
      <c r="O370" s="119"/>
      <c r="P370" s="119"/>
      <c r="Q370" s="119"/>
      <c r="R370" s="119"/>
      <c r="S370" s="160">
        <f t="shared" si="5"/>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c r="C371" s="3"/>
      <c r="D371" s="71"/>
      <c r="E371" s="71"/>
      <c r="F371" s="148"/>
      <c r="G371" s="119"/>
      <c r="H371" s="119"/>
      <c r="I371" s="119"/>
      <c r="J371" s="119"/>
      <c r="K371" s="119"/>
      <c r="L371" s="119"/>
      <c r="M371" s="119"/>
      <c r="N371" s="119"/>
      <c r="O371" s="119"/>
      <c r="P371" s="119"/>
      <c r="Q371" s="119"/>
      <c r="R371" s="119"/>
      <c r="S371" s="160">
        <f t="shared" si="5"/>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c r="C372" s="3"/>
      <c r="D372" s="71"/>
      <c r="E372" s="71"/>
      <c r="F372" s="148"/>
      <c r="G372" s="119"/>
      <c r="H372" s="119"/>
      <c r="I372" s="119"/>
      <c r="J372" s="119"/>
      <c r="K372" s="119"/>
      <c r="L372" s="119"/>
      <c r="M372" s="119"/>
      <c r="N372" s="119"/>
      <c r="O372" s="119"/>
      <c r="P372" s="119"/>
      <c r="Q372" s="119"/>
      <c r="R372" s="119"/>
      <c r="S372" s="160">
        <f t="shared" si="5"/>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c r="C373" s="3"/>
      <c r="D373" s="71"/>
      <c r="E373" s="71"/>
      <c r="F373" s="148"/>
      <c r="G373" s="119"/>
      <c r="H373" s="119"/>
      <c r="I373" s="119"/>
      <c r="J373" s="119"/>
      <c r="K373" s="119"/>
      <c r="L373" s="119"/>
      <c r="M373" s="119"/>
      <c r="N373" s="119"/>
      <c r="O373" s="119"/>
      <c r="P373" s="119"/>
      <c r="Q373" s="119"/>
      <c r="R373" s="119"/>
      <c r="S373" s="160">
        <f t="shared" si="5"/>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c r="C374" s="3"/>
      <c r="D374" s="71"/>
      <c r="E374" s="71"/>
      <c r="F374" s="148"/>
      <c r="G374" s="119"/>
      <c r="H374" s="119"/>
      <c r="I374" s="119"/>
      <c r="J374" s="119"/>
      <c r="K374" s="119"/>
      <c r="L374" s="119"/>
      <c r="M374" s="119"/>
      <c r="N374" s="119"/>
      <c r="O374" s="119"/>
      <c r="P374" s="119"/>
      <c r="Q374" s="119"/>
      <c r="R374" s="119"/>
      <c r="S374" s="160">
        <f t="shared" si="5"/>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c r="C375" s="3"/>
      <c r="D375" s="71"/>
      <c r="E375" s="71"/>
      <c r="F375" s="148"/>
      <c r="G375" s="119"/>
      <c r="H375" s="119"/>
      <c r="I375" s="119"/>
      <c r="J375" s="119"/>
      <c r="K375" s="119"/>
      <c r="L375" s="119"/>
      <c r="M375" s="119"/>
      <c r="N375" s="119"/>
      <c r="O375" s="119"/>
      <c r="P375" s="119"/>
      <c r="Q375" s="119"/>
      <c r="R375" s="119"/>
      <c r="S375" s="160">
        <f t="shared" si="5"/>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c r="C376" s="3"/>
      <c r="D376" s="71"/>
      <c r="E376" s="71"/>
      <c r="F376" s="148"/>
      <c r="G376" s="119"/>
      <c r="H376" s="119"/>
      <c r="I376" s="119"/>
      <c r="J376" s="119"/>
      <c r="K376" s="119"/>
      <c r="L376" s="119"/>
      <c r="M376" s="119"/>
      <c r="N376" s="119"/>
      <c r="O376" s="119"/>
      <c r="P376" s="119"/>
      <c r="Q376" s="119"/>
      <c r="R376" s="119"/>
      <c r="S376" s="160">
        <f t="shared" si="5"/>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c r="C377" s="3"/>
      <c r="D377" s="71"/>
      <c r="E377" s="71"/>
      <c r="F377" s="148"/>
      <c r="G377" s="119"/>
      <c r="H377" s="119"/>
      <c r="I377" s="119"/>
      <c r="J377" s="119"/>
      <c r="K377" s="119"/>
      <c r="L377" s="119"/>
      <c r="M377" s="119"/>
      <c r="N377" s="119"/>
      <c r="O377" s="119"/>
      <c r="P377" s="119"/>
      <c r="Q377" s="119"/>
      <c r="R377" s="119"/>
      <c r="S377" s="160">
        <f t="shared" si="5"/>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c r="C378" s="3"/>
      <c r="D378" s="71"/>
      <c r="E378" s="71"/>
      <c r="F378" s="148"/>
      <c r="G378" s="119"/>
      <c r="H378" s="119"/>
      <c r="I378" s="119"/>
      <c r="J378" s="119"/>
      <c r="K378" s="119"/>
      <c r="L378" s="119"/>
      <c r="M378" s="119"/>
      <c r="N378" s="119"/>
      <c r="O378" s="119"/>
      <c r="P378" s="119"/>
      <c r="Q378" s="119"/>
      <c r="R378" s="119"/>
      <c r="S378" s="160">
        <f t="shared" si="5"/>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c r="C379" s="3"/>
      <c r="D379" s="71"/>
      <c r="E379" s="71"/>
      <c r="F379" s="148"/>
      <c r="G379" s="119"/>
      <c r="H379" s="119"/>
      <c r="I379" s="119"/>
      <c r="J379" s="119"/>
      <c r="K379" s="119"/>
      <c r="L379" s="119"/>
      <c r="M379" s="119"/>
      <c r="N379" s="119"/>
      <c r="O379" s="119"/>
      <c r="P379" s="119"/>
      <c r="Q379" s="119"/>
      <c r="R379" s="119"/>
      <c r="S379" s="160">
        <f t="shared" si="5"/>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c r="C380" s="3"/>
      <c r="D380" s="71"/>
      <c r="E380" s="71"/>
      <c r="F380" s="148"/>
      <c r="G380" s="119"/>
      <c r="H380" s="119"/>
      <c r="I380" s="119"/>
      <c r="J380" s="119"/>
      <c r="K380" s="119"/>
      <c r="L380" s="119"/>
      <c r="M380" s="119"/>
      <c r="N380" s="119"/>
      <c r="O380" s="119"/>
      <c r="P380" s="119"/>
      <c r="Q380" s="119"/>
      <c r="R380" s="119"/>
      <c r="S380" s="160">
        <f t="shared" si="5"/>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c r="C381" s="3"/>
      <c r="D381" s="71"/>
      <c r="E381" s="71"/>
      <c r="F381" s="148"/>
      <c r="G381" s="119"/>
      <c r="H381" s="119"/>
      <c r="I381" s="119"/>
      <c r="J381" s="119"/>
      <c r="K381" s="119"/>
      <c r="L381" s="119"/>
      <c r="M381" s="119"/>
      <c r="N381" s="119"/>
      <c r="O381" s="119"/>
      <c r="P381" s="119"/>
      <c r="Q381" s="119"/>
      <c r="R381" s="119"/>
      <c r="S381" s="160">
        <f t="shared" si="5"/>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c r="C382" s="3"/>
      <c r="D382" s="71"/>
      <c r="E382" s="71"/>
      <c r="F382" s="148"/>
      <c r="G382" s="119"/>
      <c r="H382" s="119"/>
      <c r="I382" s="119"/>
      <c r="J382" s="119"/>
      <c r="K382" s="119"/>
      <c r="L382" s="119"/>
      <c r="M382" s="119"/>
      <c r="N382" s="119"/>
      <c r="O382" s="119"/>
      <c r="P382" s="119"/>
      <c r="Q382" s="119"/>
      <c r="R382" s="119"/>
      <c r="S382" s="160">
        <f t="shared" si="5"/>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c r="C383" s="3"/>
      <c r="D383" s="71"/>
      <c r="E383" s="71"/>
      <c r="F383" s="148"/>
      <c r="G383" s="119"/>
      <c r="H383" s="119"/>
      <c r="I383" s="119"/>
      <c r="J383" s="119"/>
      <c r="K383" s="119"/>
      <c r="L383" s="119"/>
      <c r="M383" s="119"/>
      <c r="N383" s="119"/>
      <c r="O383" s="119"/>
      <c r="P383" s="119"/>
      <c r="Q383" s="119"/>
      <c r="R383" s="119"/>
      <c r="S383" s="160">
        <f t="shared" si="5"/>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c r="C384" s="3"/>
      <c r="D384" s="71"/>
      <c r="E384" s="71"/>
      <c r="F384" s="148"/>
      <c r="G384" s="119"/>
      <c r="H384" s="119"/>
      <c r="I384" s="119"/>
      <c r="J384" s="119"/>
      <c r="K384" s="119"/>
      <c r="L384" s="119"/>
      <c r="M384" s="119"/>
      <c r="N384" s="119"/>
      <c r="O384" s="119"/>
      <c r="P384" s="119"/>
      <c r="Q384" s="119"/>
      <c r="R384" s="119"/>
      <c r="S384" s="160">
        <f t="shared" si="5"/>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c r="C385" s="3"/>
      <c r="D385" s="71"/>
      <c r="E385" s="71"/>
      <c r="F385" s="148"/>
      <c r="G385" s="119"/>
      <c r="H385" s="119"/>
      <c r="I385" s="119"/>
      <c r="J385" s="119"/>
      <c r="K385" s="119"/>
      <c r="L385" s="119"/>
      <c r="M385" s="119"/>
      <c r="N385" s="119"/>
      <c r="O385" s="119"/>
      <c r="P385" s="119"/>
      <c r="Q385" s="119"/>
      <c r="R385" s="119"/>
      <c r="S385" s="160">
        <f t="shared" si="5"/>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c r="C386" s="3"/>
      <c r="D386" s="71"/>
      <c r="E386" s="71"/>
      <c r="F386" s="148"/>
      <c r="G386" s="119"/>
      <c r="H386" s="119"/>
      <c r="I386" s="119"/>
      <c r="J386" s="119"/>
      <c r="K386" s="119"/>
      <c r="L386" s="119"/>
      <c r="M386" s="119"/>
      <c r="N386" s="119"/>
      <c r="O386" s="119"/>
      <c r="P386" s="119"/>
      <c r="Q386" s="119"/>
      <c r="R386" s="119"/>
      <c r="S386" s="160">
        <f t="shared" si="5"/>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c r="C387" s="3"/>
      <c r="D387" s="71"/>
      <c r="E387" s="71"/>
      <c r="F387" s="148"/>
      <c r="G387" s="119"/>
      <c r="H387" s="119"/>
      <c r="I387" s="119"/>
      <c r="J387" s="119"/>
      <c r="K387" s="119"/>
      <c r="L387" s="119"/>
      <c r="M387" s="119"/>
      <c r="N387" s="119"/>
      <c r="O387" s="119"/>
      <c r="P387" s="119"/>
      <c r="Q387" s="119"/>
      <c r="R387" s="119"/>
      <c r="S387" s="160">
        <f t="shared" si="5"/>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c r="C388" s="3"/>
      <c r="D388" s="71"/>
      <c r="E388" s="71"/>
      <c r="F388" s="148"/>
      <c r="G388" s="119"/>
      <c r="H388" s="119"/>
      <c r="I388" s="119"/>
      <c r="J388" s="119"/>
      <c r="K388" s="119"/>
      <c r="L388" s="119"/>
      <c r="M388" s="119"/>
      <c r="N388" s="119"/>
      <c r="O388" s="119"/>
      <c r="P388" s="119"/>
      <c r="Q388" s="119"/>
      <c r="R388" s="119"/>
      <c r="S388" s="160">
        <f t="shared" si="5"/>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c r="C389" s="3"/>
      <c r="D389" s="71"/>
      <c r="E389" s="71"/>
      <c r="F389" s="148"/>
      <c r="G389" s="119"/>
      <c r="H389" s="119"/>
      <c r="I389" s="119"/>
      <c r="J389" s="119"/>
      <c r="K389" s="119"/>
      <c r="L389" s="119"/>
      <c r="M389" s="119"/>
      <c r="N389" s="119"/>
      <c r="O389" s="119"/>
      <c r="P389" s="119"/>
      <c r="Q389" s="119"/>
      <c r="R389" s="119"/>
      <c r="S389" s="160">
        <f t="shared" si="5"/>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c r="C390" s="3"/>
      <c r="D390" s="71"/>
      <c r="E390" s="71"/>
      <c r="F390" s="148"/>
      <c r="G390" s="119"/>
      <c r="H390" s="119"/>
      <c r="I390" s="119"/>
      <c r="J390" s="119"/>
      <c r="K390" s="119"/>
      <c r="L390" s="119"/>
      <c r="M390" s="119"/>
      <c r="N390" s="119"/>
      <c r="O390" s="119"/>
      <c r="P390" s="119"/>
      <c r="Q390" s="119"/>
      <c r="R390" s="119"/>
      <c r="S390" s="160">
        <f t="shared" si="5"/>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c r="C391" s="3"/>
      <c r="D391" s="71"/>
      <c r="E391" s="71"/>
      <c r="F391" s="148"/>
      <c r="G391" s="119"/>
      <c r="H391" s="119"/>
      <c r="I391" s="119"/>
      <c r="J391" s="119"/>
      <c r="K391" s="119"/>
      <c r="L391" s="119"/>
      <c r="M391" s="119"/>
      <c r="N391" s="119"/>
      <c r="O391" s="119"/>
      <c r="P391" s="119"/>
      <c r="Q391" s="119"/>
      <c r="R391" s="119"/>
      <c r="S391" s="160">
        <f t="shared" ref="S391:S450" si="6">((P391*10000/39.1)+(Q391*10000/23)-(R391*10000/35.5))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c r="C392" s="3"/>
      <c r="D392" s="71"/>
      <c r="E392" s="71"/>
      <c r="F392" s="148"/>
      <c r="G392" s="119"/>
      <c r="H392" s="119"/>
      <c r="I392" s="119"/>
      <c r="J392" s="119"/>
      <c r="K392" s="119"/>
      <c r="L392" s="119"/>
      <c r="M392" s="119"/>
      <c r="N392" s="119"/>
      <c r="O392" s="119"/>
      <c r="P392" s="119"/>
      <c r="Q392" s="119"/>
      <c r="R392" s="119"/>
      <c r="S392" s="160">
        <f t="shared" si="6"/>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c r="C393" s="3"/>
      <c r="D393" s="71"/>
      <c r="E393" s="71"/>
      <c r="F393" s="148"/>
      <c r="G393" s="119"/>
      <c r="H393" s="119"/>
      <c r="I393" s="119"/>
      <c r="J393" s="119"/>
      <c r="K393" s="119"/>
      <c r="L393" s="119"/>
      <c r="M393" s="119"/>
      <c r="N393" s="119"/>
      <c r="O393" s="119"/>
      <c r="P393" s="119"/>
      <c r="Q393" s="119"/>
      <c r="R393" s="119"/>
      <c r="S393" s="160">
        <f t="shared" si="6"/>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c r="C394" s="3"/>
      <c r="D394" s="71"/>
      <c r="E394" s="71"/>
      <c r="F394" s="148"/>
      <c r="G394" s="119"/>
      <c r="H394" s="119"/>
      <c r="I394" s="119"/>
      <c r="J394" s="119"/>
      <c r="K394" s="119"/>
      <c r="L394" s="119"/>
      <c r="M394" s="119"/>
      <c r="N394" s="119"/>
      <c r="O394" s="119"/>
      <c r="P394" s="119"/>
      <c r="Q394" s="119"/>
      <c r="R394" s="119"/>
      <c r="S394" s="160">
        <f t="shared" si="6"/>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c r="C395" s="3"/>
      <c r="D395" s="71"/>
      <c r="E395" s="71"/>
      <c r="F395" s="148"/>
      <c r="G395" s="119"/>
      <c r="H395" s="119"/>
      <c r="I395" s="119"/>
      <c r="J395" s="119"/>
      <c r="K395" s="119"/>
      <c r="L395" s="119"/>
      <c r="M395" s="119"/>
      <c r="N395" s="119"/>
      <c r="O395" s="119"/>
      <c r="P395" s="119"/>
      <c r="Q395" s="119"/>
      <c r="R395" s="119"/>
      <c r="S395" s="160">
        <f t="shared" si="6"/>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c r="C396" s="3"/>
      <c r="D396" s="71"/>
      <c r="E396" s="71"/>
      <c r="F396" s="148"/>
      <c r="G396" s="119"/>
      <c r="H396" s="119"/>
      <c r="I396" s="119"/>
      <c r="J396" s="119"/>
      <c r="K396" s="119"/>
      <c r="L396" s="119"/>
      <c r="M396" s="119"/>
      <c r="N396" s="119"/>
      <c r="O396" s="119"/>
      <c r="P396" s="119"/>
      <c r="Q396" s="119"/>
      <c r="R396" s="119"/>
      <c r="S396" s="160">
        <f t="shared" si="6"/>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c r="C397" s="3"/>
      <c r="D397" s="71"/>
      <c r="E397" s="71"/>
      <c r="F397" s="148"/>
      <c r="G397" s="119"/>
      <c r="H397" s="119"/>
      <c r="I397" s="119"/>
      <c r="J397" s="119"/>
      <c r="K397" s="119"/>
      <c r="L397" s="119"/>
      <c r="M397" s="119"/>
      <c r="N397" s="119"/>
      <c r="O397" s="119"/>
      <c r="P397" s="119"/>
      <c r="Q397" s="119"/>
      <c r="R397" s="119"/>
      <c r="S397" s="160">
        <f t="shared" si="6"/>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c r="C398" s="3"/>
      <c r="D398" s="71"/>
      <c r="E398" s="71"/>
      <c r="F398" s="148"/>
      <c r="G398" s="119"/>
      <c r="H398" s="119"/>
      <c r="I398" s="119"/>
      <c r="J398" s="119"/>
      <c r="K398" s="119"/>
      <c r="L398" s="119"/>
      <c r="M398" s="119"/>
      <c r="N398" s="119"/>
      <c r="O398" s="119"/>
      <c r="P398" s="119"/>
      <c r="Q398" s="119"/>
      <c r="R398" s="119"/>
      <c r="S398" s="160">
        <f t="shared" si="6"/>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c r="C399" s="3"/>
      <c r="D399" s="71"/>
      <c r="E399" s="71"/>
      <c r="F399" s="148"/>
      <c r="G399" s="119"/>
      <c r="H399" s="119"/>
      <c r="I399" s="119"/>
      <c r="J399" s="119"/>
      <c r="K399" s="119"/>
      <c r="L399" s="119"/>
      <c r="M399" s="119"/>
      <c r="N399" s="119"/>
      <c r="O399" s="119"/>
      <c r="P399" s="119"/>
      <c r="Q399" s="119"/>
      <c r="R399" s="119"/>
      <c r="S399" s="160">
        <f t="shared" si="6"/>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c r="C400" s="3"/>
      <c r="D400" s="71"/>
      <c r="E400" s="71"/>
      <c r="F400" s="148"/>
      <c r="G400" s="119"/>
      <c r="H400" s="119"/>
      <c r="I400" s="119"/>
      <c r="J400" s="119"/>
      <c r="K400" s="119"/>
      <c r="L400" s="119"/>
      <c r="M400" s="119"/>
      <c r="N400" s="119"/>
      <c r="O400" s="119"/>
      <c r="P400" s="119"/>
      <c r="Q400" s="119"/>
      <c r="R400" s="119"/>
      <c r="S400" s="160">
        <f t="shared" si="6"/>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c r="C401" s="3"/>
      <c r="D401" s="71"/>
      <c r="E401" s="71"/>
      <c r="F401" s="148"/>
      <c r="G401" s="119"/>
      <c r="H401" s="119"/>
      <c r="I401" s="119"/>
      <c r="J401" s="119"/>
      <c r="K401" s="119"/>
      <c r="L401" s="119"/>
      <c r="M401" s="119"/>
      <c r="N401" s="119"/>
      <c r="O401" s="119"/>
      <c r="P401" s="119"/>
      <c r="Q401" s="119"/>
      <c r="R401" s="119"/>
      <c r="S401" s="160">
        <f t="shared" si="6"/>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c r="C402" s="3"/>
      <c r="D402" s="71"/>
      <c r="E402" s="71"/>
      <c r="F402" s="148"/>
      <c r="G402" s="119"/>
      <c r="H402" s="119"/>
      <c r="I402" s="119"/>
      <c r="J402" s="119"/>
      <c r="K402" s="119"/>
      <c r="L402" s="119"/>
      <c r="M402" s="119"/>
      <c r="N402" s="119"/>
      <c r="O402" s="119"/>
      <c r="P402" s="119"/>
      <c r="Q402" s="119"/>
      <c r="R402" s="119"/>
      <c r="S402" s="160">
        <f t="shared" si="6"/>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c r="C403" s="3"/>
      <c r="D403" s="71"/>
      <c r="E403" s="71"/>
      <c r="F403" s="148"/>
      <c r="G403" s="119"/>
      <c r="H403" s="119"/>
      <c r="I403" s="119"/>
      <c r="J403" s="119"/>
      <c r="K403" s="119"/>
      <c r="L403" s="119"/>
      <c r="M403" s="119"/>
      <c r="N403" s="119"/>
      <c r="O403" s="119"/>
      <c r="P403" s="119"/>
      <c r="Q403" s="119"/>
      <c r="R403" s="119"/>
      <c r="S403" s="160">
        <f t="shared" si="6"/>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c r="C404" s="3"/>
      <c r="D404" s="71"/>
      <c r="E404" s="71"/>
      <c r="F404" s="148"/>
      <c r="G404" s="119"/>
      <c r="H404" s="119"/>
      <c r="I404" s="119"/>
      <c r="J404" s="119"/>
      <c r="K404" s="119"/>
      <c r="L404" s="119"/>
      <c r="M404" s="119"/>
      <c r="N404" s="119"/>
      <c r="O404" s="119"/>
      <c r="P404" s="119"/>
      <c r="Q404" s="119"/>
      <c r="R404" s="119"/>
      <c r="S404" s="160">
        <f t="shared" si="6"/>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c r="C405" s="3"/>
      <c r="D405" s="71"/>
      <c r="E405" s="71"/>
      <c r="F405" s="148"/>
      <c r="G405" s="119"/>
      <c r="H405" s="119"/>
      <c r="I405" s="119"/>
      <c r="J405" s="119"/>
      <c r="K405" s="119"/>
      <c r="L405" s="119"/>
      <c r="M405" s="119"/>
      <c r="N405" s="119"/>
      <c r="O405" s="119"/>
      <c r="P405" s="119"/>
      <c r="Q405" s="119"/>
      <c r="R405" s="119"/>
      <c r="S405" s="160">
        <f t="shared" si="6"/>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c r="C406" s="3"/>
      <c r="D406" s="71"/>
      <c r="E406" s="71"/>
      <c r="F406" s="148"/>
      <c r="G406" s="119"/>
      <c r="H406" s="119"/>
      <c r="I406" s="119"/>
      <c r="J406" s="119"/>
      <c r="K406" s="119"/>
      <c r="L406" s="119"/>
      <c r="M406" s="119"/>
      <c r="N406" s="119"/>
      <c r="O406" s="119"/>
      <c r="P406" s="119"/>
      <c r="Q406" s="119"/>
      <c r="R406" s="119"/>
      <c r="S406" s="160">
        <f t="shared" si="6"/>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c r="C407" s="3"/>
      <c r="D407" s="71"/>
      <c r="E407" s="71"/>
      <c r="F407" s="148"/>
      <c r="G407" s="119"/>
      <c r="H407" s="119"/>
      <c r="I407" s="119"/>
      <c r="J407" s="119"/>
      <c r="K407" s="119"/>
      <c r="L407" s="119"/>
      <c r="M407" s="119"/>
      <c r="N407" s="119"/>
      <c r="O407" s="119"/>
      <c r="P407" s="119"/>
      <c r="Q407" s="119"/>
      <c r="R407" s="119"/>
      <c r="S407" s="160">
        <f t="shared" si="6"/>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c r="C408" s="3"/>
      <c r="D408" s="71"/>
      <c r="E408" s="71"/>
      <c r="F408" s="148"/>
      <c r="G408" s="119"/>
      <c r="H408" s="119"/>
      <c r="I408" s="119"/>
      <c r="J408" s="119"/>
      <c r="K408" s="119"/>
      <c r="L408" s="119"/>
      <c r="M408" s="119"/>
      <c r="N408" s="119"/>
      <c r="O408" s="119"/>
      <c r="P408" s="119"/>
      <c r="Q408" s="119"/>
      <c r="R408" s="119"/>
      <c r="S408" s="160">
        <f t="shared" si="6"/>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c r="C409" s="3"/>
      <c r="D409" s="71"/>
      <c r="E409" s="71"/>
      <c r="F409" s="148"/>
      <c r="G409" s="119"/>
      <c r="H409" s="119"/>
      <c r="I409" s="119"/>
      <c r="J409" s="119"/>
      <c r="K409" s="119"/>
      <c r="L409" s="119"/>
      <c r="M409" s="119"/>
      <c r="N409" s="119"/>
      <c r="O409" s="119"/>
      <c r="P409" s="119"/>
      <c r="Q409" s="119"/>
      <c r="R409" s="119"/>
      <c r="S409" s="160">
        <f t="shared" si="6"/>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c r="C410" s="3"/>
      <c r="D410" s="71"/>
      <c r="E410" s="71"/>
      <c r="F410" s="148"/>
      <c r="G410" s="119"/>
      <c r="H410" s="119"/>
      <c r="I410" s="119"/>
      <c r="J410" s="119"/>
      <c r="K410" s="119"/>
      <c r="L410" s="119"/>
      <c r="M410" s="119"/>
      <c r="N410" s="119"/>
      <c r="O410" s="119"/>
      <c r="P410" s="119"/>
      <c r="Q410" s="119"/>
      <c r="R410" s="119"/>
      <c r="S410" s="160">
        <f t="shared" si="6"/>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c r="C411" s="3"/>
      <c r="D411" s="71"/>
      <c r="E411" s="71"/>
      <c r="F411" s="148"/>
      <c r="G411" s="119"/>
      <c r="H411" s="119"/>
      <c r="I411" s="119"/>
      <c r="J411" s="119"/>
      <c r="K411" s="119"/>
      <c r="L411" s="119"/>
      <c r="M411" s="119"/>
      <c r="N411" s="119"/>
      <c r="O411" s="119"/>
      <c r="P411" s="119"/>
      <c r="Q411" s="119"/>
      <c r="R411" s="119"/>
      <c r="S411" s="160">
        <f t="shared" si="6"/>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c r="C412" s="3"/>
      <c r="D412" s="71"/>
      <c r="E412" s="71"/>
      <c r="F412" s="148"/>
      <c r="G412" s="119"/>
      <c r="H412" s="119"/>
      <c r="I412" s="119"/>
      <c r="J412" s="119"/>
      <c r="K412" s="119"/>
      <c r="L412" s="119"/>
      <c r="M412" s="119"/>
      <c r="N412" s="119"/>
      <c r="O412" s="119"/>
      <c r="P412" s="119"/>
      <c r="Q412" s="119"/>
      <c r="R412" s="119"/>
      <c r="S412" s="160">
        <f t="shared" si="6"/>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c r="C413" s="3"/>
      <c r="D413" s="71"/>
      <c r="E413" s="71"/>
      <c r="F413" s="148"/>
      <c r="G413" s="119"/>
      <c r="H413" s="119"/>
      <c r="I413" s="119"/>
      <c r="J413" s="119"/>
      <c r="K413" s="119"/>
      <c r="L413" s="119"/>
      <c r="M413" s="119"/>
      <c r="N413" s="119"/>
      <c r="O413" s="119"/>
      <c r="P413" s="119"/>
      <c r="Q413" s="119"/>
      <c r="R413" s="119"/>
      <c r="S413" s="160">
        <f t="shared" si="6"/>
        <v>0</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c r="C414" s="3"/>
      <c r="D414" s="71"/>
      <c r="E414" s="71"/>
      <c r="F414" s="148"/>
      <c r="G414" s="119"/>
      <c r="H414" s="119"/>
      <c r="I414" s="119"/>
      <c r="J414" s="119"/>
      <c r="K414" s="119"/>
      <c r="L414" s="119"/>
      <c r="M414" s="119"/>
      <c r="N414" s="119"/>
      <c r="O414" s="119"/>
      <c r="P414" s="119"/>
      <c r="Q414" s="119"/>
      <c r="R414" s="119"/>
      <c r="S414" s="160">
        <f t="shared" si="6"/>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c r="C415" s="3"/>
      <c r="D415" s="71"/>
      <c r="E415" s="71"/>
      <c r="F415" s="148"/>
      <c r="G415" s="119"/>
      <c r="H415" s="119"/>
      <c r="I415" s="119"/>
      <c r="J415" s="119"/>
      <c r="K415" s="119"/>
      <c r="L415" s="119"/>
      <c r="M415" s="119"/>
      <c r="N415" s="119"/>
      <c r="O415" s="119"/>
      <c r="P415" s="119"/>
      <c r="Q415" s="119"/>
      <c r="R415" s="119"/>
      <c r="S415" s="160">
        <f t="shared" si="6"/>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c r="C416" s="3"/>
      <c r="D416" s="71"/>
      <c r="E416" s="71"/>
      <c r="F416" s="148"/>
      <c r="G416" s="119"/>
      <c r="H416" s="119"/>
      <c r="I416" s="119"/>
      <c r="J416" s="119"/>
      <c r="K416" s="119"/>
      <c r="L416" s="119"/>
      <c r="M416" s="119"/>
      <c r="N416" s="119"/>
      <c r="O416" s="119"/>
      <c r="P416" s="119"/>
      <c r="Q416" s="119"/>
      <c r="R416" s="119"/>
      <c r="S416" s="160">
        <f t="shared" si="6"/>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c r="C417" s="3"/>
      <c r="D417" s="71"/>
      <c r="E417" s="71"/>
      <c r="F417" s="148"/>
      <c r="G417" s="119"/>
      <c r="H417" s="119"/>
      <c r="I417" s="119"/>
      <c r="J417" s="119"/>
      <c r="K417" s="119"/>
      <c r="L417" s="119"/>
      <c r="M417" s="119"/>
      <c r="N417" s="119"/>
      <c r="O417" s="119"/>
      <c r="P417" s="119"/>
      <c r="Q417" s="119"/>
      <c r="R417" s="119"/>
      <c r="S417" s="160">
        <f t="shared" si="6"/>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c r="C418" s="3"/>
      <c r="D418" s="71"/>
      <c r="E418" s="71"/>
      <c r="F418" s="148"/>
      <c r="G418" s="119"/>
      <c r="H418" s="119"/>
      <c r="I418" s="119"/>
      <c r="J418" s="119"/>
      <c r="K418" s="119"/>
      <c r="L418" s="119"/>
      <c r="M418" s="119"/>
      <c r="N418" s="119"/>
      <c r="O418" s="119"/>
      <c r="P418" s="119"/>
      <c r="Q418" s="119"/>
      <c r="R418" s="119"/>
      <c r="S418" s="160">
        <f t="shared" si="6"/>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c r="C419" s="3"/>
      <c r="D419" s="71"/>
      <c r="E419" s="71"/>
      <c r="F419" s="148"/>
      <c r="G419" s="119"/>
      <c r="H419" s="119"/>
      <c r="I419" s="119"/>
      <c r="J419" s="119"/>
      <c r="K419" s="119"/>
      <c r="L419" s="119"/>
      <c r="M419" s="119"/>
      <c r="N419" s="119"/>
      <c r="O419" s="119"/>
      <c r="P419" s="119"/>
      <c r="Q419" s="119"/>
      <c r="R419" s="119"/>
      <c r="S419" s="160">
        <f t="shared" si="6"/>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c r="C420" s="3"/>
      <c r="D420" s="71"/>
      <c r="E420" s="71"/>
      <c r="F420" s="148"/>
      <c r="G420" s="119"/>
      <c r="H420" s="119"/>
      <c r="I420" s="119"/>
      <c r="J420" s="119"/>
      <c r="K420" s="119"/>
      <c r="L420" s="119"/>
      <c r="M420" s="119"/>
      <c r="N420" s="119"/>
      <c r="O420" s="119"/>
      <c r="P420" s="119"/>
      <c r="Q420" s="119"/>
      <c r="R420" s="119"/>
      <c r="S420" s="160">
        <f t="shared" si="6"/>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c r="C421" s="6"/>
      <c r="D421" s="71"/>
      <c r="E421" s="71"/>
      <c r="F421" s="149"/>
      <c r="G421" s="120"/>
      <c r="H421" s="120"/>
      <c r="I421" s="120"/>
      <c r="J421" s="120"/>
      <c r="K421" s="120"/>
      <c r="L421" s="120"/>
      <c r="M421" s="120"/>
      <c r="N421" s="120"/>
      <c r="O421" s="120"/>
      <c r="P421" s="120"/>
      <c r="Q421" s="120"/>
      <c r="R421" s="120"/>
      <c r="S421" s="160">
        <f t="shared" si="6"/>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c r="C422" s="6"/>
      <c r="D422" s="71"/>
      <c r="E422" s="71"/>
      <c r="F422" s="149"/>
      <c r="G422" s="120"/>
      <c r="H422" s="120"/>
      <c r="I422" s="120"/>
      <c r="J422" s="120"/>
      <c r="K422" s="120"/>
      <c r="L422" s="120"/>
      <c r="M422" s="120"/>
      <c r="N422" s="120"/>
      <c r="O422" s="120"/>
      <c r="P422" s="120"/>
      <c r="Q422" s="120"/>
      <c r="R422" s="120"/>
      <c r="S422" s="160">
        <f t="shared" si="6"/>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c r="C423" s="6"/>
      <c r="D423" s="71"/>
      <c r="E423" s="71"/>
      <c r="F423" s="149"/>
      <c r="G423" s="120"/>
      <c r="H423" s="120"/>
      <c r="I423" s="120"/>
      <c r="J423" s="120"/>
      <c r="K423" s="120"/>
      <c r="L423" s="120"/>
      <c r="M423" s="120"/>
      <c r="N423" s="120"/>
      <c r="O423" s="120"/>
      <c r="P423" s="120"/>
      <c r="Q423" s="120"/>
      <c r="R423" s="120"/>
      <c r="S423" s="160">
        <f t="shared" si="6"/>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c r="C424" s="6"/>
      <c r="D424" s="71"/>
      <c r="E424" s="71"/>
      <c r="F424" s="149"/>
      <c r="G424" s="120"/>
      <c r="H424" s="120"/>
      <c r="I424" s="120"/>
      <c r="J424" s="120"/>
      <c r="K424" s="120"/>
      <c r="L424" s="120"/>
      <c r="M424" s="120"/>
      <c r="N424" s="120"/>
      <c r="O424" s="120"/>
      <c r="P424" s="120"/>
      <c r="Q424" s="120"/>
      <c r="R424" s="120"/>
      <c r="S424" s="160">
        <f t="shared" si="6"/>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c r="C425" s="6"/>
      <c r="D425" s="71"/>
      <c r="E425" s="71"/>
      <c r="F425" s="149"/>
      <c r="G425" s="120"/>
      <c r="H425" s="120"/>
      <c r="I425" s="120"/>
      <c r="J425" s="120"/>
      <c r="K425" s="120"/>
      <c r="L425" s="120"/>
      <c r="M425" s="120"/>
      <c r="N425" s="120"/>
      <c r="O425" s="120"/>
      <c r="P425" s="120"/>
      <c r="Q425" s="120"/>
      <c r="R425" s="120"/>
      <c r="S425" s="160">
        <f t="shared" si="6"/>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c r="C426" s="6"/>
      <c r="D426" s="71"/>
      <c r="E426" s="71"/>
      <c r="F426" s="149"/>
      <c r="G426" s="120"/>
      <c r="H426" s="120"/>
      <c r="I426" s="120"/>
      <c r="J426" s="120"/>
      <c r="K426" s="120"/>
      <c r="L426" s="120"/>
      <c r="M426" s="120"/>
      <c r="N426" s="120"/>
      <c r="O426" s="120"/>
      <c r="P426" s="120"/>
      <c r="Q426" s="120">
        <v>39.700000000000003</v>
      </c>
      <c r="R426" s="120">
        <v>59.6</v>
      </c>
      <c r="S426" s="160">
        <f t="shared" si="6"/>
        <v>472.13717085119424</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c r="C427" s="6"/>
      <c r="D427" s="71"/>
      <c r="E427" s="71"/>
      <c r="F427" s="149"/>
      <c r="G427" s="120"/>
      <c r="H427" s="120"/>
      <c r="I427" s="120"/>
      <c r="J427" s="120"/>
      <c r="K427" s="120"/>
      <c r="L427" s="120"/>
      <c r="M427" s="120"/>
      <c r="N427" s="120"/>
      <c r="O427" s="120"/>
      <c r="P427" s="120"/>
      <c r="Q427" s="120"/>
      <c r="R427" s="120"/>
      <c r="S427" s="160">
        <f t="shared" si="6"/>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c r="C428" s="6"/>
      <c r="D428" s="71"/>
      <c r="E428" s="71"/>
      <c r="F428" s="149"/>
      <c r="G428" s="120"/>
      <c r="H428" s="120"/>
      <c r="I428" s="120"/>
      <c r="J428" s="120"/>
      <c r="K428" s="120"/>
      <c r="L428" s="120"/>
      <c r="M428" s="120"/>
      <c r="N428" s="120"/>
      <c r="O428" s="120"/>
      <c r="P428" s="120"/>
      <c r="Q428" s="120"/>
      <c r="R428" s="120"/>
      <c r="S428" s="160">
        <f t="shared" si="6"/>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c r="C429" s="6"/>
      <c r="D429" s="71"/>
      <c r="E429" s="71"/>
      <c r="F429" s="149"/>
      <c r="G429" s="120"/>
      <c r="H429" s="120"/>
      <c r="I429" s="120"/>
      <c r="J429" s="120"/>
      <c r="K429" s="120"/>
      <c r="L429" s="120"/>
      <c r="M429" s="120"/>
      <c r="N429" s="120"/>
      <c r="O429" s="120"/>
      <c r="P429" s="120"/>
      <c r="Q429" s="120"/>
      <c r="R429" s="120"/>
      <c r="S429" s="160">
        <f t="shared" si="6"/>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c r="C430" s="6"/>
      <c r="D430" s="71"/>
      <c r="E430" s="71"/>
      <c r="F430" s="149"/>
      <c r="G430" s="120"/>
      <c r="H430" s="120"/>
      <c r="I430" s="120"/>
      <c r="J430" s="120"/>
      <c r="K430" s="120"/>
      <c r="L430" s="120"/>
      <c r="M430" s="120"/>
      <c r="N430" s="120"/>
      <c r="O430" s="120"/>
      <c r="P430" s="120"/>
      <c r="Q430" s="120"/>
      <c r="R430" s="120"/>
      <c r="S430" s="160">
        <f t="shared" si="6"/>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c r="C431" s="6"/>
      <c r="D431" s="71"/>
      <c r="E431" s="71"/>
      <c r="F431" s="149"/>
      <c r="G431" s="120"/>
      <c r="H431" s="120"/>
      <c r="I431" s="120"/>
      <c r="J431" s="120"/>
      <c r="K431" s="120"/>
      <c r="L431" s="120"/>
      <c r="M431" s="120"/>
      <c r="N431" s="120"/>
      <c r="O431" s="120"/>
      <c r="P431" s="120"/>
      <c r="Q431" s="120"/>
      <c r="R431" s="120"/>
      <c r="S431" s="160">
        <f t="shared" si="6"/>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c r="C432" s="6"/>
      <c r="D432" s="71"/>
      <c r="E432" s="71"/>
      <c r="F432" s="149"/>
      <c r="G432" s="120"/>
      <c r="H432" s="120"/>
      <c r="I432" s="120"/>
      <c r="J432" s="120"/>
      <c r="K432" s="120"/>
      <c r="L432" s="120"/>
      <c r="M432" s="120"/>
      <c r="N432" s="120"/>
      <c r="O432" s="120"/>
      <c r="P432" s="120"/>
      <c r="Q432" s="120"/>
      <c r="R432" s="120"/>
      <c r="S432" s="160">
        <f t="shared" si="6"/>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c r="C433" s="6"/>
      <c r="D433" s="71"/>
      <c r="E433" s="71"/>
      <c r="F433" s="149"/>
      <c r="G433" s="120"/>
      <c r="H433" s="120"/>
      <c r="I433" s="120"/>
      <c r="J433" s="120"/>
      <c r="K433" s="120"/>
      <c r="L433" s="120"/>
      <c r="M433" s="120"/>
      <c r="N433" s="120"/>
      <c r="O433" s="120"/>
      <c r="P433" s="120"/>
      <c r="Q433" s="120"/>
      <c r="R433" s="120"/>
      <c r="S433" s="160">
        <f t="shared" si="6"/>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c r="C434" s="6"/>
      <c r="D434" s="71"/>
      <c r="E434" s="71"/>
      <c r="F434" s="149"/>
      <c r="G434" s="120"/>
      <c r="H434" s="120"/>
      <c r="I434" s="120"/>
      <c r="J434" s="120"/>
      <c r="K434" s="120"/>
      <c r="L434" s="120"/>
      <c r="M434" s="120"/>
      <c r="N434" s="120"/>
      <c r="O434" s="120"/>
      <c r="P434" s="120"/>
      <c r="Q434" s="120"/>
      <c r="R434" s="120"/>
      <c r="S434" s="160">
        <f t="shared" si="6"/>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c r="C435" s="6"/>
      <c r="D435" s="71"/>
      <c r="E435" s="71"/>
      <c r="F435" s="149"/>
      <c r="G435" s="120"/>
      <c r="H435" s="120"/>
      <c r="I435" s="120"/>
      <c r="J435" s="120"/>
      <c r="K435" s="120"/>
      <c r="L435" s="120"/>
      <c r="M435" s="120"/>
      <c r="N435" s="120"/>
      <c r="O435" s="120"/>
      <c r="P435" s="120"/>
      <c r="Q435" s="120"/>
      <c r="R435" s="120"/>
      <c r="S435" s="160">
        <f t="shared" si="6"/>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c r="C436" s="6"/>
      <c r="D436" s="71"/>
      <c r="E436" s="71"/>
      <c r="F436" s="149"/>
      <c r="G436" s="120"/>
      <c r="H436" s="120"/>
      <c r="I436" s="120"/>
      <c r="J436" s="120"/>
      <c r="K436" s="120"/>
      <c r="L436" s="120"/>
      <c r="M436" s="120"/>
      <c r="N436" s="120"/>
      <c r="O436" s="120"/>
      <c r="P436" s="120"/>
      <c r="Q436" s="120"/>
      <c r="R436" s="120"/>
      <c r="S436" s="160">
        <f t="shared" si="6"/>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c r="C437" s="6"/>
      <c r="D437" s="71"/>
      <c r="E437" s="71"/>
      <c r="F437" s="149"/>
      <c r="G437" s="120"/>
      <c r="H437" s="120"/>
      <c r="I437" s="120"/>
      <c r="J437" s="120"/>
      <c r="K437" s="120"/>
      <c r="L437" s="120"/>
      <c r="M437" s="120"/>
      <c r="N437" s="120"/>
      <c r="O437" s="120"/>
      <c r="P437" s="120"/>
      <c r="Q437" s="120"/>
      <c r="R437" s="120"/>
      <c r="S437" s="160">
        <f t="shared" si="6"/>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c r="C438" s="6"/>
      <c r="D438" s="71"/>
      <c r="E438" s="71"/>
      <c r="F438" s="149"/>
      <c r="G438" s="120"/>
      <c r="H438" s="120"/>
      <c r="I438" s="120"/>
      <c r="J438" s="120"/>
      <c r="K438" s="120"/>
      <c r="L438" s="120"/>
      <c r="M438" s="120"/>
      <c r="N438" s="120"/>
      <c r="O438" s="120"/>
      <c r="P438" s="120"/>
      <c r="Q438" s="120"/>
      <c r="R438" s="120"/>
      <c r="S438" s="160">
        <f t="shared" si="6"/>
        <v>0</v>
      </c>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c r="C439" s="6"/>
      <c r="D439" s="71"/>
      <c r="E439" s="71"/>
      <c r="F439" s="149"/>
      <c r="G439" s="120"/>
      <c r="H439" s="120"/>
      <c r="I439" s="120"/>
      <c r="J439" s="120"/>
      <c r="K439" s="120"/>
      <c r="L439" s="120"/>
      <c r="M439" s="120"/>
      <c r="N439" s="120"/>
      <c r="O439" s="120"/>
      <c r="P439" s="120"/>
      <c r="Q439" s="120"/>
      <c r="R439" s="120"/>
      <c r="S439" s="160">
        <f t="shared" si="6"/>
        <v>0</v>
      </c>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c r="C440" s="6"/>
      <c r="D440" s="71"/>
      <c r="E440" s="71"/>
      <c r="F440" s="149"/>
      <c r="G440" s="120"/>
      <c r="H440" s="120"/>
      <c r="I440" s="120"/>
      <c r="J440" s="120"/>
      <c r="K440" s="120"/>
      <c r="L440" s="120"/>
      <c r="M440" s="120"/>
      <c r="N440" s="120"/>
      <c r="O440" s="120"/>
      <c r="P440" s="120"/>
      <c r="Q440" s="120"/>
      <c r="R440" s="120"/>
      <c r="S440" s="160">
        <f t="shared" si="6"/>
        <v>0</v>
      </c>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c r="C441" s="6"/>
      <c r="D441" s="71"/>
      <c r="E441" s="71"/>
      <c r="F441" s="149"/>
      <c r="G441" s="120"/>
      <c r="H441" s="120"/>
      <c r="I441" s="120"/>
      <c r="J441" s="120"/>
      <c r="K441" s="120"/>
      <c r="L441" s="120"/>
      <c r="M441" s="120"/>
      <c r="N441" s="120"/>
      <c r="O441" s="120"/>
      <c r="P441" s="120"/>
      <c r="Q441" s="120"/>
      <c r="R441" s="120"/>
      <c r="S441" s="160">
        <f t="shared" si="6"/>
        <v>0</v>
      </c>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c r="C442" s="6"/>
      <c r="D442" s="71"/>
      <c r="E442" s="71"/>
      <c r="F442" s="149"/>
      <c r="G442" s="120"/>
      <c r="H442" s="120"/>
      <c r="I442" s="120"/>
      <c r="J442" s="120"/>
      <c r="K442" s="120"/>
      <c r="L442" s="120"/>
      <c r="M442" s="120"/>
      <c r="N442" s="120"/>
      <c r="O442" s="120"/>
      <c r="P442" s="120"/>
      <c r="Q442" s="120"/>
      <c r="R442" s="120"/>
      <c r="S442" s="160">
        <f t="shared" si="6"/>
        <v>0</v>
      </c>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c r="C443" s="6"/>
      <c r="D443" s="71"/>
      <c r="E443" s="71"/>
      <c r="F443" s="149"/>
      <c r="G443" s="120"/>
      <c r="H443" s="120"/>
      <c r="I443" s="120"/>
      <c r="J443" s="120"/>
      <c r="K443" s="120"/>
      <c r="L443" s="120"/>
      <c r="M443" s="120"/>
      <c r="N443" s="120"/>
      <c r="O443" s="120"/>
      <c r="P443" s="120"/>
      <c r="Q443" s="120"/>
      <c r="R443" s="120"/>
      <c r="S443" s="160">
        <f t="shared" si="6"/>
        <v>0</v>
      </c>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c r="C444" s="6"/>
      <c r="D444" s="71"/>
      <c r="E444" s="71"/>
      <c r="F444" s="149"/>
      <c r="G444" s="120"/>
      <c r="H444" s="120"/>
      <c r="I444" s="120"/>
      <c r="J444" s="120"/>
      <c r="K444" s="120"/>
      <c r="L444" s="120"/>
      <c r="M444" s="120"/>
      <c r="N444" s="120"/>
      <c r="O444" s="120"/>
      <c r="P444" s="120"/>
      <c r="Q444" s="120"/>
      <c r="R444" s="120"/>
      <c r="S444" s="160">
        <f t="shared" si="6"/>
        <v>0</v>
      </c>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c r="C445" s="6"/>
      <c r="D445" s="71"/>
      <c r="E445" s="71"/>
      <c r="F445" s="149"/>
      <c r="G445" s="120"/>
      <c r="H445" s="120"/>
      <c r="I445" s="120"/>
      <c r="J445" s="120"/>
      <c r="K445" s="120"/>
      <c r="L445" s="120"/>
      <c r="M445" s="120"/>
      <c r="N445" s="120"/>
      <c r="O445" s="120"/>
      <c r="P445" s="120"/>
      <c r="Q445" s="120"/>
      <c r="R445" s="120"/>
      <c r="S445" s="160">
        <f t="shared" si="6"/>
        <v>0</v>
      </c>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c r="C446" s="6"/>
      <c r="D446" s="71"/>
      <c r="E446" s="71"/>
      <c r="F446" s="149"/>
      <c r="G446" s="120"/>
      <c r="H446" s="120"/>
      <c r="I446" s="120"/>
      <c r="J446" s="120"/>
      <c r="K446" s="120"/>
      <c r="L446" s="120"/>
      <c r="M446" s="120"/>
      <c r="N446" s="120"/>
      <c r="O446" s="120"/>
      <c r="P446" s="120"/>
      <c r="Q446" s="120"/>
      <c r="R446" s="120"/>
      <c r="S446" s="160">
        <f t="shared" si="6"/>
        <v>0</v>
      </c>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c r="C447" s="6"/>
      <c r="D447" s="71"/>
      <c r="E447" s="71"/>
      <c r="F447" s="149"/>
      <c r="G447" s="120"/>
      <c r="H447" s="120"/>
      <c r="I447" s="120"/>
      <c r="J447" s="120"/>
      <c r="K447" s="120"/>
      <c r="L447" s="120"/>
      <c r="M447" s="120"/>
      <c r="N447" s="120"/>
      <c r="O447" s="120"/>
      <c r="P447" s="120"/>
      <c r="Q447" s="120"/>
      <c r="R447" s="120"/>
      <c r="S447" s="160">
        <f t="shared" si="6"/>
        <v>0</v>
      </c>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c r="C448" s="6"/>
      <c r="D448" s="71"/>
      <c r="E448" s="71"/>
      <c r="F448" s="149"/>
      <c r="G448" s="120"/>
      <c r="H448" s="120"/>
      <c r="I448" s="120"/>
      <c r="J448" s="120"/>
      <c r="K448" s="120"/>
      <c r="L448" s="120"/>
      <c r="M448" s="120"/>
      <c r="N448" s="120"/>
      <c r="O448" s="120"/>
      <c r="P448" s="120"/>
      <c r="Q448" s="120"/>
      <c r="R448" s="120"/>
      <c r="S448" s="160">
        <f t="shared" si="6"/>
        <v>0</v>
      </c>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c r="C449" s="6"/>
      <c r="D449" s="71"/>
      <c r="E449" s="71"/>
      <c r="F449" s="149"/>
      <c r="G449" s="120"/>
      <c r="H449" s="120"/>
      <c r="I449" s="120"/>
      <c r="J449" s="120"/>
      <c r="K449" s="120"/>
      <c r="L449" s="120"/>
      <c r="M449" s="120"/>
      <c r="N449" s="120"/>
      <c r="O449" s="120"/>
      <c r="P449" s="120"/>
      <c r="Q449" s="120"/>
      <c r="R449" s="120"/>
      <c r="S449" s="160">
        <f t="shared" si="6"/>
        <v>0</v>
      </c>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c r="C450" s="6"/>
      <c r="D450" s="71"/>
      <c r="E450" s="71"/>
      <c r="F450" s="149"/>
      <c r="G450" s="120"/>
      <c r="H450" s="120"/>
      <c r="I450" s="120"/>
      <c r="J450" s="120"/>
      <c r="K450" s="120"/>
      <c r="L450" s="120"/>
      <c r="M450" s="120"/>
      <c r="N450" s="120"/>
      <c r="O450" s="120"/>
      <c r="P450" s="120"/>
      <c r="Q450" s="120"/>
      <c r="R450" s="120"/>
      <c r="S450" s="160">
        <f t="shared" si="6"/>
        <v>0</v>
      </c>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c r="H477" s="120"/>
      <c r="I477" s="120"/>
      <c r="J477" s="120"/>
      <c r="K477" s="120"/>
      <c r="L477" s="120"/>
      <c r="M477" s="120"/>
      <c r="N477" s="120"/>
      <c r="O477" s="120"/>
      <c r="P477" s="120"/>
      <c r="Q477" s="120"/>
      <c r="R477" s="120"/>
      <c r="S477" s="160"/>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c r="L487" s="120"/>
      <c r="M487" s="120"/>
      <c r="N487" s="120"/>
      <c r="O487" s="120"/>
      <c r="P487" s="120"/>
      <c r="Q487" s="120"/>
      <c r="R487" s="120"/>
      <c r="S487" s="160"/>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((P489*10000/39.1)+(Q489*10000/23)-(R489*10000/35.5))</f>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2" t="s">
        <v>1</v>
      </c>
      <c r="C9" s="223"/>
      <c r="D9" s="28"/>
      <c r="E9" s="228" t="s">
        <v>84</v>
      </c>
      <c r="F9" s="29"/>
      <c r="G9" s="228" t="s">
        <v>85</v>
      </c>
      <c r="H9" s="29"/>
      <c r="I9" s="228" t="s">
        <v>86</v>
      </c>
      <c r="J9" s="29"/>
      <c r="K9" s="228" t="s">
        <v>87</v>
      </c>
      <c r="L9" s="29"/>
      <c r="M9" s="228" t="s">
        <v>88</v>
      </c>
      <c r="N9" s="29"/>
      <c r="O9" s="228" t="s">
        <v>89</v>
      </c>
      <c r="P9" s="29"/>
      <c r="Q9" s="228" t="s">
        <v>90</v>
      </c>
      <c r="R9" s="29"/>
      <c r="S9" s="228" t="s">
        <v>91</v>
      </c>
      <c r="T9" s="29"/>
      <c r="U9" s="228" t="s">
        <v>92</v>
      </c>
      <c r="V9" s="29"/>
      <c r="W9" s="228" t="s">
        <v>93</v>
      </c>
    </row>
    <row r="10" spans="2:24" ht="18" x14ac:dyDescent="0.3">
      <c r="B10" s="224"/>
      <c r="C10" s="225"/>
      <c r="D10" s="28"/>
      <c r="E10" s="229"/>
      <c r="F10" s="29"/>
      <c r="G10" s="229"/>
      <c r="H10" s="29"/>
      <c r="I10" s="229"/>
      <c r="J10" s="29"/>
      <c r="K10" s="229"/>
      <c r="L10" s="29"/>
      <c r="M10" s="229"/>
      <c r="N10" s="29"/>
      <c r="O10" s="229"/>
      <c r="P10" s="29"/>
      <c r="Q10" s="229"/>
      <c r="R10" s="29"/>
      <c r="S10" s="229"/>
      <c r="T10" s="29"/>
      <c r="U10" s="229"/>
      <c r="V10" s="29"/>
      <c r="W10" s="229"/>
    </row>
    <row r="11" spans="2:24" ht="18.600000000000001" thickBot="1" x14ac:dyDescent="0.35">
      <c r="B11" s="226"/>
      <c r="C11" s="227"/>
      <c r="D11" s="28"/>
      <c r="E11" s="230"/>
      <c r="F11" s="29"/>
      <c r="G11" s="230"/>
      <c r="H11" s="29"/>
      <c r="I11" s="230"/>
      <c r="J11" s="29"/>
      <c r="K11" s="230"/>
      <c r="L11" s="29"/>
      <c r="M11" s="230"/>
      <c r="N11" s="29"/>
      <c r="O11" s="230"/>
      <c r="P11" s="29"/>
      <c r="Q11" s="230"/>
      <c r="R11" s="29"/>
      <c r="S11" s="230"/>
      <c r="T11" s="29"/>
      <c r="U11" s="230"/>
      <c r="V11" s="29"/>
      <c r="W11" s="230"/>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W9:W11"/>
    <mergeCell ref="E9:E11"/>
    <mergeCell ref="G9:G11"/>
    <mergeCell ref="I9:I11"/>
    <mergeCell ref="K9:K11"/>
    <mergeCell ref="M9:M11"/>
    <mergeCell ref="B9:C11"/>
    <mergeCell ref="O9:O11"/>
    <mergeCell ref="Q9:Q11"/>
    <mergeCell ref="S9:S11"/>
    <mergeCell ref="U9:U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topLeftCell="A3" zoomScale="90" zoomScaleNormal="90" workbookViewId="0">
      <selection activeCell="B15" sqref="B15"/>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130</v>
      </c>
      <c r="C4" s="177">
        <v>0</v>
      </c>
      <c r="D4" s="177">
        <v>100</v>
      </c>
      <c r="E4" s="178">
        <v>48.205268696060052</v>
      </c>
      <c r="F4" s="178">
        <f t="shared" ref="F4:F28" si="0">SUMIF(INGREDIENTES,B4,CUSTO_KG)*(E4/100)</f>
        <v>0.6796942886144467</v>
      </c>
      <c r="G4" s="39"/>
      <c r="H4" s="39"/>
      <c r="I4" s="181" t="str">
        <f>INGREDIENTES!$F$5</f>
        <v>En Metabolizável</v>
      </c>
      <c r="J4" s="182" t="str">
        <f>INGREDIENTES!$F$6</f>
        <v>kcal/kg</v>
      </c>
      <c r="K4" s="183">
        <v>3350</v>
      </c>
      <c r="L4" s="183">
        <v>3360</v>
      </c>
      <c r="M4" s="184">
        <f>CONTRIBUIÇÃO_INDIVIDUAL!D6</f>
        <v>3350.0000000000009</v>
      </c>
    </row>
    <row r="5" spans="1:13" ht="13.5" customHeight="1" x14ac:dyDescent="0.3">
      <c r="A5" s="174">
        <v>2</v>
      </c>
      <c r="B5" s="176" t="s">
        <v>129</v>
      </c>
      <c r="C5" s="177">
        <v>0</v>
      </c>
      <c r="D5" s="177">
        <v>100</v>
      </c>
      <c r="E5" s="178">
        <v>3.9838819716069778</v>
      </c>
      <c r="F5" s="178">
        <f t="shared" si="0"/>
        <v>0.10158899027597793</v>
      </c>
      <c r="G5" s="39"/>
      <c r="H5" s="39"/>
      <c r="I5" s="185" t="str">
        <f>INGREDIENTES!$G$5</f>
        <v>Matéria Seca</v>
      </c>
      <c r="J5" s="122" t="str">
        <f>INGREDIENTES!$G$6</f>
        <v>%</v>
      </c>
      <c r="K5" s="177">
        <v>0</v>
      </c>
      <c r="L5" s="177">
        <v>100</v>
      </c>
      <c r="M5" s="178">
        <f>CONTRIBUIÇÃO_INDIVIDUAL!D7</f>
        <v>88.422016627260547</v>
      </c>
    </row>
    <row r="6" spans="1:13" x14ac:dyDescent="0.3">
      <c r="A6" s="174">
        <v>3</v>
      </c>
      <c r="B6" s="176" t="s">
        <v>106</v>
      </c>
      <c r="C6" s="177">
        <v>0</v>
      </c>
      <c r="D6" s="177">
        <v>10</v>
      </c>
      <c r="E6" s="178">
        <v>10</v>
      </c>
      <c r="F6" s="178">
        <f t="shared" si="0"/>
        <v>8.0000000000000016E-2</v>
      </c>
      <c r="G6" s="39"/>
      <c r="H6" s="39"/>
      <c r="I6" s="181" t="str">
        <f>INGREDIENTES!$H$5</f>
        <v>Proteína Bruta</v>
      </c>
      <c r="J6" s="125" t="str">
        <f>INGREDIENTES!$H$6</f>
        <v>%</v>
      </c>
      <c r="K6" s="177">
        <v>11.48</v>
      </c>
      <c r="L6" s="177">
        <v>11.5</v>
      </c>
      <c r="M6" s="178">
        <f>CONTRIBUIÇÃO_INDIVIDUAL!D8</f>
        <v>11.500000000000002</v>
      </c>
    </row>
    <row r="7" spans="1:13" x14ac:dyDescent="0.3">
      <c r="A7" s="174">
        <v>4</v>
      </c>
      <c r="B7" s="176" t="s">
        <v>117</v>
      </c>
      <c r="C7" s="177">
        <v>0</v>
      </c>
      <c r="D7" s="177">
        <v>5</v>
      </c>
      <c r="E7" s="178">
        <v>1.0676945040322636</v>
      </c>
      <c r="F7" s="178">
        <f t="shared" si="0"/>
        <v>7.4738615282258447E-2</v>
      </c>
      <c r="G7" s="39"/>
      <c r="H7" s="39"/>
      <c r="I7" s="185" t="str">
        <f>INGREDIENTES!$I$5</f>
        <v>Extrato Etéreo</v>
      </c>
      <c r="J7" s="122" t="str">
        <f>INGREDIENTES!$I$6</f>
        <v>%</v>
      </c>
      <c r="K7" s="177">
        <v>0</v>
      </c>
      <c r="L7" s="177">
        <v>100</v>
      </c>
      <c r="M7" s="178">
        <f>CONTRIBUIÇÃO_INDIVIDUAL!D9</f>
        <v>3.9827462146134311</v>
      </c>
    </row>
    <row r="8" spans="1:13" x14ac:dyDescent="0.3">
      <c r="A8" s="174">
        <v>5</v>
      </c>
      <c r="B8" s="176" t="s">
        <v>109</v>
      </c>
      <c r="C8" s="177">
        <v>0.5</v>
      </c>
      <c r="D8" s="177">
        <v>5</v>
      </c>
      <c r="E8" s="178">
        <v>4.0118014659607146</v>
      </c>
      <c r="F8" s="178">
        <f t="shared" si="0"/>
        <v>0.1364012498426643</v>
      </c>
      <c r="G8" s="39"/>
      <c r="H8" s="39"/>
      <c r="I8" s="181" t="str">
        <f>INGREDIENTES!$J$5</f>
        <v>Ác. Linoleico</v>
      </c>
      <c r="J8" s="125" t="str">
        <f>INGREDIENTES!$J$6</f>
        <v>%</v>
      </c>
      <c r="K8" s="177">
        <v>0</v>
      </c>
      <c r="L8" s="177">
        <v>100</v>
      </c>
      <c r="M8" s="178">
        <f>CONTRIBUIÇÃO_INDIVIDUAL!D10</f>
        <v>1.5365261708893148</v>
      </c>
    </row>
    <row r="9" spans="1:13" x14ac:dyDescent="0.3">
      <c r="A9" s="174">
        <v>6</v>
      </c>
      <c r="B9" s="176" t="s">
        <v>100</v>
      </c>
      <c r="C9" s="177">
        <v>1.4999999999999999E-2</v>
      </c>
      <c r="D9" s="177">
        <v>1.4999999999999999E-2</v>
      </c>
      <c r="E9" s="178">
        <v>1.4999999999999999E-2</v>
      </c>
      <c r="F9" s="178">
        <f t="shared" si="0"/>
        <v>5.2499999999999995E-3</v>
      </c>
      <c r="G9" s="39"/>
      <c r="H9" s="39"/>
      <c r="I9" s="185" t="str">
        <f>INGREDIENTES!$K$5</f>
        <v>Fibra Bruta</v>
      </c>
      <c r="J9" s="122" t="str">
        <f>INGREDIENTES!$K$6</f>
        <v>%</v>
      </c>
      <c r="K9" s="177">
        <v>0</v>
      </c>
      <c r="L9" s="177">
        <v>100</v>
      </c>
      <c r="M9" s="178">
        <f>CONTRIBUIÇÃO_INDIVIDUAL!D11</f>
        <v>1.963567812261938</v>
      </c>
    </row>
    <row r="10" spans="1:13" x14ac:dyDescent="0.3">
      <c r="A10" s="174">
        <v>7</v>
      </c>
      <c r="B10" s="176" t="s">
        <v>102</v>
      </c>
      <c r="C10" s="177">
        <v>0</v>
      </c>
      <c r="D10" s="177">
        <v>100</v>
      </c>
      <c r="E10" s="178">
        <v>0.2252746490770911</v>
      </c>
      <c r="F10" s="178">
        <f t="shared" si="0"/>
        <v>5.6318662269272783E-3</v>
      </c>
      <c r="G10" s="39"/>
      <c r="H10" s="39"/>
      <c r="I10" s="181" t="str">
        <f>INGREDIENTES!$L$5</f>
        <v>Cálcio</v>
      </c>
      <c r="J10" s="125" t="str">
        <f>INGREDIENTES!$L$6</f>
        <v>%</v>
      </c>
      <c r="K10" s="177">
        <v>0.497</v>
      </c>
      <c r="L10" s="177">
        <v>100</v>
      </c>
      <c r="M10" s="178">
        <f>CONTRIBUIÇÃO_INDIVIDUAL!D12</f>
        <v>0.49699999999999711</v>
      </c>
    </row>
    <row r="11" spans="1:13" x14ac:dyDescent="0.3">
      <c r="A11" s="174">
        <v>8</v>
      </c>
      <c r="B11" s="176" t="s">
        <v>112</v>
      </c>
      <c r="C11" s="177">
        <v>0</v>
      </c>
      <c r="D11" s="177">
        <v>100</v>
      </c>
      <c r="E11" s="178">
        <v>0.63725257278633229</v>
      </c>
      <c r="F11" s="178">
        <f t="shared" si="0"/>
        <v>0.22303840047521631</v>
      </c>
      <c r="G11" s="39"/>
      <c r="H11" s="39"/>
      <c r="I11" s="185" t="str">
        <f>INGREDIENTES!$M$5</f>
        <v>Fósforo_Total</v>
      </c>
      <c r="J11" s="122" t="str">
        <f>INGREDIENTES!$M$6</f>
        <v>%</v>
      </c>
      <c r="K11" s="177">
        <v>0</v>
      </c>
      <c r="L11" s="177">
        <v>100</v>
      </c>
      <c r="M11" s="178">
        <f>CONTRIBUIÇÃO_INDIVIDUAL!D13</f>
        <v>0.4083681057873047</v>
      </c>
    </row>
    <row r="12" spans="1:13" x14ac:dyDescent="0.3">
      <c r="A12" s="174">
        <v>9</v>
      </c>
      <c r="B12" s="176" t="s">
        <v>114</v>
      </c>
      <c r="C12" s="177">
        <v>0</v>
      </c>
      <c r="D12" s="177">
        <v>100</v>
      </c>
      <c r="E12" s="178">
        <v>7.586423475447919E-2</v>
      </c>
      <c r="F12" s="178">
        <f t="shared" si="0"/>
        <v>4.400125615759793E-2</v>
      </c>
      <c r="G12" s="39"/>
      <c r="H12" s="39"/>
      <c r="I12" s="181" t="str">
        <f>INGREDIENTES!$N$5</f>
        <v>Fósforo_Disponível</v>
      </c>
      <c r="J12" s="125" t="str">
        <f>INGREDIENTES!$N$6</f>
        <v>%</v>
      </c>
      <c r="K12" s="177">
        <v>0.24199999999999999</v>
      </c>
      <c r="L12" s="177">
        <v>100</v>
      </c>
      <c r="M12" s="178">
        <f>CONTRIBUIÇÃO_INDIVIDUAL!D14</f>
        <v>0.24200000000000005</v>
      </c>
    </row>
    <row r="13" spans="1:13" x14ac:dyDescent="0.3">
      <c r="A13" s="174">
        <v>10</v>
      </c>
      <c r="B13" s="176" t="s">
        <v>113</v>
      </c>
      <c r="C13" s="177">
        <v>0</v>
      </c>
      <c r="D13" s="177">
        <v>100</v>
      </c>
      <c r="E13" s="178">
        <v>0.22136930241592101</v>
      </c>
      <c r="F13" s="178">
        <f t="shared" si="0"/>
        <v>5.3128632579821047E-2</v>
      </c>
      <c r="G13" s="39"/>
      <c r="H13" s="39"/>
      <c r="I13" s="185" t="str">
        <f>INGREDIENTES!$O$5</f>
        <v>Fósforo Fítico</v>
      </c>
      <c r="J13" s="122" t="str">
        <f>INGREDIENTES!$O$6</f>
        <v>%</v>
      </c>
      <c r="K13" s="177">
        <v>0</v>
      </c>
      <c r="L13" s="177">
        <v>100</v>
      </c>
      <c r="M13" s="178">
        <f>CONTRIBUIÇÃO_INDIVIDUAL!D15</f>
        <v>0.14711145875069323</v>
      </c>
    </row>
    <row r="14" spans="1:13" x14ac:dyDescent="0.3">
      <c r="A14" s="174">
        <v>11</v>
      </c>
      <c r="B14" s="176" t="s">
        <v>115</v>
      </c>
      <c r="C14" s="177">
        <v>0</v>
      </c>
      <c r="D14" s="177">
        <v>100</v>
      </c>
      <c r="E14" s="178">
        <v>8.4330585654318127E-2</v>
      </c>
      <c r="F14" s="178">
        <f t="shared" si="0"/>
        <v>1.6866117130863625E-2</v>
      </c>
      <c r="G14" s="39"/>
      <c r="H14" s="39"/>
      <c r="I14" s="181" t="str">
        <f>INGREDIENTES!$P$5</f>
        <v>Potássio</v>
      </c>
      <c r="J14" s="125" t="str">
        <f>INGREDIENTES!$P$6</f>
        <v>%</v>
      </c>
      <c r="K14" s="177">
        <v>0</v>
      </c>
      <c r="L14" s="177">
        <v>100</v>
      </c>
      <c r="M14" s="178">
        <f>CONTRIBUIÇÃO_INDIVIDUAL!D16</f>
        <v>0.28342444767739172</v>
      </c>
    </row>
    <row r="15" spans="1:13" x14ac:dyDescent="0.3">
      <c r="A15" s="174">
        <v>12</v>
      </c>
      <c r="B15" s="176" t="s">
        <v>118</v>
      </c>
      <c r="C15" s="177">
        <v>0.1</v>
      </c>
      <c r="D15" s="177">
        <v>0.1</v>
      </c>
      <c r="E15" s="178">
        <v>0.1</v>
      </c>
      <c r="F15" s="178">
        <f>SUMIF(INGREDIENTES,B15,CUSTO_KG)*(E15/100)</f>
        <v>0.01</v>
      </c>
      <c r="G15" s="39"/>
      <c r="H15" s="39"/>
      <c r="I15" s="185" t="str">
        <f>INGREDIENTES!$Q$5</f>
        <v>Sódio</v>
      </c>
      <c r="J15" s="122" t="str">
        <f>INGREDIENTES!$Q$6</f>
        <v>%</v>
      </c>
      <c r="K15" s="177">
        <v>0.16500000000000001</v>
      </c>
      <c r="L15" s="177">
        <v>0.16600000000000001</v>
      </c>
      <c r="M15" s="178">
        <f>CONTRIBUIÇÃO_INDIVIDUAL!D17</f>
        <v>0.16500000000000054</v>
      </c>
    </row>
    <row r="16" spans="1:13" x14ac:dyDescent="0.3">
      <c r="A16" s="174">
        <v>13</v>
      </c>
      <c r="B16" s="176" t="s">
        <v>121</v>
      </c>
      <c r="C16" s="177">
        <v>0</v>
      </c>
      <c r="D16" s="177">
        <v>100</v>
      </c>
      <c r="E16" s="178">
        <v>0.27226201765183106</v>
      </c>
      <c r="F16" s="178">
        <f>SUMIF(INGREDIENTES,B16,CUSTO_KG)*(E16/100)</f>
        <v>1.2251790794332398E-3</v>
      </c>
      <c r="G16" s="39"/>
      <c r="H16" s="39"/>
      <c r="I16" s="181" t="str">
        <f>INGREDIENTES!$R$5</f>
        <v>Cloro</v>
      </c>
      <c r="J16" s="125" t="str">
        <f>INGREDIENTES!$R$6</f>
        <v>%</v>
      </c>
      <c r="K16" s="177">
        <v>0</v>
      </c>
      <c r="L16" s="177">
        <v>100</v>
      </c>
      <c r="M16" s="178">
        <f>CONTRIBUIÇÃO_INDIVIDUAL!D18</f>
        <v>0.27520588234571652</v>
      </c>
    </row>
    <row r="17" spans="1:13" x14ac:dyDescent="0.3">
      <c r="A17" s="174">
        <v>14</v>
      </c>
      <c r="B17" s="176" t="s">
        <v>123</v>
      </c>
      <c r="C17" s="177">
        <v>0</v>
      </c>
      <c r="D17" s="177">
        <v>20</v>
      </c>
      <c r="E17" s="178">
        <v>20</v>
      </c>
      <c r="F17" s="178">
        <f t="shared" si="0"/>
        <v>0.2</v>
      </c>
      <c r="G17" s="39"/>
      <c r="H17" s="39"/>
      <c r="I17" s="185" t="str">
        <f>INGREDIENTES!$S$5</f>
        <v>MONGIN</v>
      </c>
      <c r="J17" s="122" t="str">
        <f>INGREDIENTES!$S$6</f>
        <v>mEq/kg</v>
      </c>
      <c r="K17" s="183">
        <v>0</v>
      </c>
      <c r="L17" s="183">
        <v>99999</v>
      </c>
      <c r="M17" s="186">
        <f>CONTRIBUIÇÃO_INDIVIDUAL!D19</f>
        <v>66.703417692661787</v>
      </c>
    </row>
    <row r="18" spans="1:13" x14ac:dyDescent="0.3">
      <c r="A18" s="174">
        <v>15</v>
      </c>
      <c r="B18" s="176" t="s">
        <v>98</v>
      </c>
      <c r="C18" s="177">
        <v>1</v>
      </c>
      <c r="D18" s="177">
        <v>5</v>
      </c>
      <c r="E18" s="178">
        <v>1</v>
      </c>
      <c r="F18" s="178">
        <f>SUMIF(INGREDIENTES,B18,CUSTO_KG)*(E18/100)</f>
        <v>2.8500000000000001E-2</v>
      </c>
      <c r="G18" s="39"/>
      <c r="H18" s="39"/>
      <c r="I18" s="181" t="str">
        <f>INGREDIENTES!$T$5</f>
        <v>LIS_Total</v>
      </c>
      <c r="J18" s="125" t="str">
        <f>INGREDIENTES!$T$6</f>
        <v>%</v>
      </c>
      <c r="K18" s="177">
        <v>0.91500000000000004</v>
      </c>
      <c r="L18" s="177">
        <v>100</v>
      </c>
      <c r="M18" s="178">
        <f>CONTRIBUIÇÃO_INDIVIDUAL!D20</f>
        <v>0.91500000000000026</v>
      </c>
    </row>
    <row r="19" spans="1:13" x14ac:dyDescent="0.3">
      <c r="A19" s="174">
        <v>16</v>
      </c>
      <c r="B19" s="176" t="s">
        <v>116</v>
      </c>
      <c r="C19" s="177">
        <v>0</v>
      </c>
      <c r="D19" s="177">
        <v>10</v>
      </c>
      <c r="E19" s="178">
        <v>10</v>
      </c>
      <c r="F19" s="178">
        <f>SUMIF(INGREDIENTES,B19,CUSTO_KG)*(E19/100)</f>
        <v>0.05</v>
      </c>
      <c r="G19" s="39"/>
      <c r="H19" s="39"/>
      <c r="I19" s="185" t="str">
        <f>INGREDIENTES!$U$5</f>
        <v>LIS_Digestível</v>
      </c>
      <c r="J19" s="122" t="str">
        <f>INGREDIENTES!$U$6</f>
        <v>%</v>
      </c>
      <c r="K19" s="177">
        <v>0</v>
      </c>
      <c r="L19" s="177">
        <v>100</v>
      </c>
      <c r="M19" s="178">
        <f>CONTRIBUIÇÃO_INDIVIDUAL!D21</f>
        <v>0.84167758806868676</v>
      </c>
    </row>
    <row r="20" spans="1:13" x14ac:dyDescent="0.3">
      <c r="A20" s="174">
        <v>17</v>
      </c>
      <c r="B20" s="176" t="s">
        <v>99</v>
      </c>
      <c r="C20" s="177">
        <v>0.1</v>
      </c>
      <c r="D20" s="177">
        <v>0.1</v>
      </c>
      <c r="E20" s="178">
        <v>0.1</v>
      </c>
      <c r="F20" s="178">
        <f t="shared" si="0"/>
        <v>7.4999999999999997E-3</v>
      </c>
      <c r="G20" s="39"/>
      <c r="H20" s="39"/>
      <c r="I20" s="181" t="str">
        <f>INGREDIENTES!$V$5</f>
        <v>MET_Total</v>
      </c>
      <c r="J20" s="125" t="str">
        <f>INGREDIENTES!$V$6</f>
        <v>%</v>
      </c>
      <c r="K20" s="177">
        <v>0.27400000000000002</v>
      </c>
      <c r="L20" s="177">
        <v>100</v>
      </c>
      <c r="M20" s="178">
        <f>CONTRIBUIÇÃO_INDIVIDUAL!D22</f>
        <v>0.27399999999999858</v>
      </c>
    </row>
    <row r="21" spans="1:13" x14ac:dyDescent="0.3">
      <c r="A21" s="174">
        <v>18</v>
      </c>
      <c r="B21" s="176"/>
      <c r="C21" s="177">
        <v>0</v>
      </c>
      <c r="D21" s="177">
        <v>0</v>
      </c>
      <c r="E21" s="178">
        <v>0</v>
      </c>
      <c r="F21" s="178">
        <f t="shared" si="0"/>
        <v>0</v>
      </c>
      <c r="G21" s="39"/>
      <c r="H21" s="39"/>
      <c r="I21" s="185" t="str">
        <f>INGREDIENTES!$W$5</f>
        <v>MET_Digestível</v>
      </c>
      <c r="J21" s="122" t="str">
        <f>INGREDIENTES!$W$6</f>
        <v>%</v>
      </c>
      <c r="K21" s="177">
        <v>0</v>
      </c>
      <c r="L21" s="177">
        <v>100</v>
      </c>
      <c r="M21" s="178">
        <f>CONTRIBUIÇÃO_INDIVIDUAL!D23</f>
        <v>0.25055284351583024</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0.39261387367169209</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0.34252160416243793</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0.622</v>
      </c>
      <c r="L24" s="177">
        <v>100</v>
      </c>
      <c r="M24" s="178">
        <f>CONTRIBUIÇÃO_INDIVIDUAL!D26</f>
        <v>0.62200000000000089</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0.54585132975684747</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0.183</v>
      </c>
      <c r="L26" s="177">
        <v>100</v>
      </c>
      <c r="M26" s="178">
        <f>CONTRIBUIÇÃO_INDIVIDUAL!D28</f>
        <v>0.18300000000000033</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0.15438485501728905</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0.32935949417542221</v>
      </c>
    </row>
    <row r="29" spans="1:13" ht="12.75" customHeight="1" x14ac:dyDescent="0.3">
      <c r="A29" s="40"/>
      <c r="B29" s="235"/>
      <c r="C29" s="236"/>
      <c r="D29" s="237"/>
      <c r="E29" s="180">
        <f>SUM(E4:E28)</f>
        <v>99.999999999999957</v>
      </c>
      <c r="F29" s="179">
        <f>SUM(F4:F28)</f>
        <v>1.717564595665207</v>
      </c>
      <c r="G29" s="41"/>
      <c r="H29" s="41"/>
      <c r="I29" s="185" t="str">
        <f>INGREDIENTES!$AE$5</f>
        <v>ARG_Digestível</v>
      </c>
      <c r="J29" s="122" t="str">
        <f>INGREDIENTES!$AE$6</f>
        <v>%</v>
      </c>
      <c r="K29" s="177">
        <v>0</v>
      </c>
      <c r="L29" s="177">
        <v>100</v>
      </c>
      <c r="M29" s="178">
        <f>CONTRIBUIÇÃO_INDIVIDUAL!D31</f>
        <v>0.29307738669699818</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4Usun+JuEVuu64f9TnCvAMSxddqSfChmlhjyVa6WEqDt+yujvzHIp9/2PRrAoRQbRhwKFrH/7z3tgwBRqQdMzQ==" saltValue="j2sEqUOSS/YqAf0YwNGjXg=="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2"/>
      <c r="E1" s="242"/>
      <c r="F1" s="242"/>
      <c r="G1" s="187"/>
    </row>
    <row r="2" spans="2:80" s="94" customFormat="1" ht="15" thickBot="1" x14ac:dyDescent="0.35">
      <c r="D2" s="242"/>
      <c r="E2" s="242"/>
      <c r="F2" s="242"/>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MILHO (8%) (inserir preço)</v>
      </c>
      <c r="H3" s="241"/>
      <c r="I3" s="29"/>
      <c r="J3" s="243" t="str">
        <f>FORMULAÇÃO!$B$5</f>
        <v>FARELO DE SOJA (45%) (inserir preço)</v>
      </c>
      <c r="K3" s="244"/>
      <c r="L3" s="29"/>
      <c r="M3" s="240" t="str">
        <f>FORMULAÇÃO!$B$6</f>
        <v>FARELO DE BOLACHA</v>
      </c>
      <c r="N3" s="241"/>
      <c r="O3" s="29"/>
      <c r="P3" s="243" t="str">
        <f>FORMULAÇÃO!$B$7</f>
        <v>ÓLEO DE SOJA</v>
      </c>
      <c r="Q3" s="244"/>
      <c r="R3" s="29"/>
      <c r="S3" s="240" t="str">
        <f>FORMULAÇÃO!$B$8</f>
        <v>FARINHA DE CARNE E OSSOS (52%)</v>
      </c>
      <c r="T3" s="241"/>
      <c r="U3" s="29"/>
      <c r="V3" s="243" t="str">
        <f>FORMULAÇÃO!$B$9</f>
        <v>BHT - antioxidante</v>
      </c>
      <c r="W3" s="244"/>
      <c r="X3" s="29"/>
      <c r="Y3" s="240" t="str">
        <f>FORMULAÇÃO!$B$10</f>
        <v>CALCÁRIO CALCÍTICO (32% de Ca)</v>
      </c>
      <c r="Z3" s="241"/>
      <c r="AA3" s="29"/>
      <c r="AB3" s="243" t="str">
        <f>FORMULAÇÃO!$B$11</f>
        <v>L-Lisina HCL</v>
      </c>
      <c r="AC3" s="244"/>
      <c r="AD3" s="29"/>
      <c r="AE3" s="240" t="str">
        <f>FORMULAÇÃO!$B$12</f>
        <v>L-Triptofano</v>
      </c>
      <c r="AF3" s="241"/>
      <c r="AG3" s="29"/>
      <c r="AH3" s="243" t="str">
        <f>FORMULAÇÃO!$B$13</f>
        <v>L-Treonina</v>
      </c>
      <c r="AI3" s="244"/>
      <c r="AJ3" s="29"/>
      <c r="AK3" s="240" t="str">
        <f>FORMULAÇÃO!$B$14</f>
        <v>DL- Metionina</v>
      </c>
      <c r="AL3" s="241"/>
      <c r="AM3" s="29"/>
      <c r="AN3" s="243" t="str">
        <f>FORMULAÇÃO!$B$15</f>
        <v>Premix Vitamínico Mineral CRESCIMENTO</v>
      </c>
      <c r="AO3" s="244"/>
      <c r="AP3" s="29"/>
      <c r="AQ3" s="240" t="str">
        <f>FORMULAÇÃO!$B$16</f>
        <v>SAL comum</v>
      </c>
      <c r="AR3" s="241"/>
      <c r="AS3" s="29"/>
      <c r="AT3" s="243" t="str">
        <f>FORMULAÇÃO!$B$17</f>
        <v>SORGO (baixo tanino)</v>
      </c>
      <c r="AU3" s="244"/>
      <c r="AV3" s="29"/>
      <c r="AW3" s="240" t="str">
        <f>FORMULAÇÃO!$B$18</f>
        <v>AÇÚCAR</v>
      </c>
      <c r="AX3" s="241"/>
      <c r="AY3" s="29"/>
      <c r="AZ3" s="243" t="str">
        <f>FORMULAÇÃO!$B$19</f>
        <v>MACARRÃO RESÍDUO</v>
      </c>
      <c r="BA3" s="244"/>
      <c r="BB3" s="29"/>
      <c r="BC3" s="240" t="str">
        <f>FORMULAÇÃO!$B$20</f>
        <v>Adsorvente Micotoxina</v>
      </c>
      <c r="BD3" s="241"/>
      <c r="BE3" s="29"/>
      <c r="BF3" s="243">
        <f>FORMULAÇÃO!$B$21</f>
        <v>0</v>
      </c>
      <c r="BG3" s="244"/>
      <c r="BH3" s="29"/>
      <c r="BI3" s="240">
        <f>FORMULAÇÃO!$B$22</f>
        <v>0</v>
      </c>
      <c r="BJ3" s="241"/>
      <c r="BK3" s="29"/>
      <c r="BL3" s="243">
        <f>FORMULAÇÃO!$B$23</f>
        <v>0</v>
      </c>
      <c r="BM3" s="244"/>
      <c r="BN3" s="29"/>
      <c r="BO3" s="240">
        <f>FORMULAÇÃO!$B$24</f>
        <v>0</v>
      </c>
      <c r="BP3" s="241"/>
      <c r="BQ3" s="29"/>
      <c r="BR3" s="243">
        <f>FORMULAÇÃO!$B$25</f>
        <v>0</v>
      </c>
      <c r="BS3" s="244"/>
      <c r="BT3" s="29"/>
      <c r="BU3" s="240">
        <f>FORMULAÇÃO!$B$26</f>
        <v>0</v>
      </c>
      <c r="BV3" s="241"/>
      <c r="BW3" s="29"/>
      <c r="BX3" s="243">
        <f>FORMULAÇÃO!$B$27</f>
        <v>0</v>
      </c>
      <c r="BY3" s="244"/>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38" t="s">
        <v>1</v>
      </c>
      <c r="C5" s="239"/>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3350.0000000000009</v>
      </c>
      <c r="E6" s="195"/>
      <c r="F6" s="195"/>
      <c r="G6" s="196">
        <f>SUMIF(INGREDIENTES,G3,EM)*(FORMULAÇÃO!$E$4/100)</f>
        <v>1619.6970281876179</v>
      </c>
      <c r="H6" s="197">
        <f>IF(G6&gt;0,((G6/$D$6)*100),"")</f>
        <v>48.349165020525895</v>
      </c>
      <c r="I6" s="198"/>
      <c r="J6" s="196">
        <f>SUMIF(INGREDIENTES,J3,EM)*(FORMULAÇÃO!$E$5/100)</f>
        <v>126.64760787738582</v>
      </c>
      <c r="K6" s="197">
        <f>IF(J6&gt;0,((J6/$D$6)*100),"")</f>
        <v>3.7805256082801728</v>
      </c>
      <c r="L6" s="198"/>
      <c r="M6" s="196">
        <f>SUMIF(INGREDIENTES,M3,EM)*(FORMULAÇÃO!$E$6/100)</f>
        <v>348</v>
      </c>
      <c r="N6" s="197">
        <f>IF(M6&gt;0,((M6/$D$6)*100),"")</f>
        <v>10.388059701492534</v>
      </c>
      <c r="O6" s="198"/>
      <c r="P6" s="196">
        <f>SUMIF(INGREDIENTES,P3,EM)*(FORMULAÇÃO!$E$7/100)</f>
        <v>88.618643834677883</v>
      </c>
      <c r="Q6" s="197">
        <f>IF(P6&gt;0,((P6/$D$6)*100),"")</f>
        <v>2.6453326517814286</v>
      </c>
      <c r="R6" s="198"/>
      <c r="S6" s="196">
        <f>SUMIF(INGREDIENTES,S3,EM)*(FORMULAÇÃO!$E$8/100)</f>
        <v>104.26672010031898</v>
      </c>
      <c r="T6" s="197">
        <f>IF(S6&gt;0,((S6/$D$6)*100),"")</f>
        <v>3.1124394059796701</v>
      </c>
      <c r="U6" s="198"/>
      <c r="V6" s="196">
        <f>SUMIF(INGREDIENTES,V3,EM)*(FORMULAÇÃO!$E$9/100)</f>
        <v>0</v>
      </c>
      <c r="W6" s="197" t="str">
        <f>IF(V6&gt;0,((V6/$D$6)*100),"")</f>
        <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0</v>
      </c>
      <c r="AF6" s="197" t="str">
        <f>IF(AE6&gt;0,((AE6/$D$6)*100),"")</f>
        <v/>
      </c>
      <c r="AG6" s="198"/>
      <c r="AH6" s="196">
        <f>SUMIF(INGREDIENTES,AH3,EM)*(FORMULAÇÃO!$E$13/100)</f>
        <v>0</v>
      </c>
      <c r="AI6" s="197" t="str">
        <f>IF(AH6&gt;0,((AH6/$D$6)*100),"")</f>
        <v/>
      </c>
      <c r="AJ6" s="198"/>
      <c r="AK6" s="196">
        <f>SUMIF(INGREDIENTES,AK3,EM)*(FORMULAÇÃO!$E$14/100)</f>
        <v>0</v>
      </c>
      <c r="AL6" s="197" t="str">
        <f>IF(AK6&gt;0,((AK6/$D$6)*100),"")</f>
        <v/>
      </c>
      <c r="AM6" s="198"/>
      <c r="AN6" s="196">
        <f>SUMIF(INGREDIENTES,AN3,EM)*(FORMULAÇÃO!$E$15/100)</f>
        <v>0</v>
      </c>
      <c r="AO6" s="197" t="str">
        <f>IF(AN6&gt;0,((AN6/$D$6)*100),"")</f>
        <v/>
      </c>
      <c r="AP6" s="198"/>
      <c r="AQ6" s="196">
        <f>SUMIF(INGREDIENTES,AQ3,EM)*(FORMULAÇÃO!$E$16/100)</f>
        <v>0</v>
      </c>
      <c r="AR6" s="197" t="str">
        <f>IF(AQ6&gt;0,((AQ6/$D$6)*100),"")</f>
        <v/>
      </c>
      <c r="AS6" s="198"/>
      <c r="AT6" s="196">
        <f>SUMIF(INGREDIENTES,AT3,EM)*(FORMULAÇÃO!$E$17/100)</f>
        <v>671.6</v>
      </c>
      <c r="AU6" s="197">
        <f>IF(AT6&gt;0,((AT6/$D$6)*100),"")</f>
        <v>20.047761194029846</v>
      </c>
      <c r="AV6" s="198"/>
      <c r="AW6" s="199">
        <f>SUMIF(INGREDIENTES,AW3,EM)*(FORMULAÇÃO!$E$18/100)</f>
        <v>37.369999999999997</v>
      </c>
      <c r="AX6" s="197">
        <f>IF(AW6&gt;0,((AW6/$D$6)*100),"")</f>
        <v>1.1155223880597012</v>
      </c>
      <c r="AY6" s="198"/>
      <c r="AZ6" s="199">
        <f>SUMIF(INGREDIENTES,AZ3,EM)*(FORMULAÇÃO!$E$19/100)</f>
        <v>353.8</v>
      </c>
      <c r="BA6" s="197">
        <f>IF(AZ6&gt;0,((AZ6/$D$6)*100),"")</f>
        <v>10.561194029850745</v>
      </c>
      <c r="BB6" s="198"/>
      <c r="BC6" s="199">
        <f>SUMIF(INGREDIENTES,BC3,EM)*(FORMULAÇÃO!$E$20/100)</f>
        <v>0</v>
      </c>
      <c r="BD6" s="197" t="str">
        <f>IF(BC6&gt;0,((BC6/$D$6)*100),"")</f>
        <v/>
      </c>
      <c r="BE6" s="198"/>
      <c r="BF6" s="199">
        <f>SUMIF(INGREDIENTES,BF3,EM)*(FORMULAÇÃO!$E$21/100)</f>
        <v>0</v>
      </c>
      <c r="BG6" s="197" t="str">
        <f>IF(BF6&gt;0,((BF6/$D$6)*100),"")</f>
        <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88.422016627260547</v>
      </c>
      <c r="E7" s="202"/>
      <c r="F7" s="202"/>
      <c r="G7" s="203">
        <f>SUMIF(INGREDIENTES,G3,MS)*(FORMULAÇÃO!$E$4/100)</f>
        <v>42.854483870797395</v>
      </c>
      <c r="H7" s="197">
        <f>IF(G7&gt;0,((G7/$D$7)*100),"")</f>
        <v>48.465852177347131</v>
      </c>
      <c r="I7" s="198"/>
      <c r="J7" s="203">
        <f>SUMIF(INGREDIENTES,J3,MS)*(FORMULAÇÃO!$E$5/100)</f>
        <v>3.5695582465598519</v>
      </c>
      <c r="K7" s="197">
        <f>IF(J7&gt;0,((J7/$D$7)*100),"")</f>
        <v>4.0369563856558273</v>
      </c>
      <c r="L7" s="198"/>
      <c r="M7" s="203">
        <f>SUMIF(INGREDIENTES,M3,MS)*(FORMULAÇÃO!$E$6/100)</f>
        <v>9.25</v>
      </c>
      <c r="N7" s="197">
        <f>IF(M7&gt;0,((M7/$D$7)*100),"")</f>
        <v>10.461195472382181</v>
      </c>
      <c r="O7" s="198"/>
      <c r="P7" s="203">
        <f>SUMIF(INGREDIENTES,P3,MS)*(FORMULAÇÃO!$E$7/100)</f>
        <v>0</v>
      </c>
      <c r="Q7" s="197" t="str">
        <f>IF(P7&gt;0,((P7/$D$7)*100),"")</f>
        <v/>
      </c>
      <c r="R7" s="198"/>
      <c r="S7" s="203">
        <f>SUMIF(INGREDIENTES,S3,MS)*(FORMULAÇÃO!$E$8/100)</f>
        <v>3.7670815765371115</v>
      </c>
      <c r="T7" s="197">
        <f>IF(S7&gt;0,((S7/$D$7)*100),"")</f>
        <v>4.2603434305474988</v>
      </c>
      <c r="U7" s="198"/>
      <c r="V7" s="203">
        <f>SUMIF(INGREDIENTES,V3,MS)*(FORMULAÇÃO!$E$9/100)</f>
        <v>1.4999999999999999E-2</v>
      </c>
      <c r="W7" s="197">
        <f>IF(V7&gt;0,((V7/$D$7)*100),"")</f>
        <v>1.6964100766025159E-2</v>
      </c>
      <c r="X7" s="198"/>
      <c r="Y7" s="203">
        <f>SUMIF(INGREDIENTES,Y3,MS)*(FORMULAÇÃO!$E$10/100)</f>
        <v>0.22527464907709113</v>
      </c>
      <c r="Z7" s="197">
        <f>IF(Y7&gt;0,((Y7/$D$7)*100),"")</f>
        <v>0.25477212313164871</v>
      </c>
      <c r="AA7" s="198"/>
      <c r="AB7" s="203">
        <f>SUMIF(INGREDIENTES,AB3,MS)*(FORMULAÇÃO!$E$11/100)</f>
        <v>0.63088004705846901</v>
      </c>
      <c r="AC7" s="197">
        <f>IF(AB7&gt;0,((AB7/$D$7)*100),"")</f>
        <v>0.71348751263830423</v>
      </c>
      <c r="AD7" s="198"/>
      <c r="AE7" s="203">
        <f>SUMIF(INGREDIENTES,AE3,MS)*(FORMULAÇÃO!$E$12/100)</f>
        <v>7.5105592406934402E-2</v>
      </c>
      <c r="AF7" s="197">
        <f>IF(AE7&gt;0,((AE7/$D$7)*100),"")</f>
        <v>8.4939922512216617E-2</v>
      </c>
      <c r="AG7" s="198"/>
      <c r="AH7" s="203">
        <f>SUMIF(INGREDIENTES,AH3,MS)*(FORMULAÇÃO!$E$13/100)</f>
        <v>0.21915560939176182</v>
      </c>
      <c r="AI7" s="197">
        <f>IF(AH7&gt;0,((AH7/$D$7)*100),"")</f>
        <v>0.24785185607743312</v>
      </c>
      <c r="AJ7" s="198"/>
      <c r="AK7" s="203">
        <f>SUMIF(INGREDIENTES,AK3,MS)*(FORMULAÇÃO!$E$14/100)</f>
        <v>8.3487279797774941E-2</v>
      </c>
      <c r="AL7" s="197">
        <f>IF(AK7&gt;0,((AK7/$D$7)*100),"")</f>
        <v>9.441910847805271E-2</v>
      </c>
      <c r="AM7" s="198"/>
      <c r="AN7" s="203">
        <f>SUMIF(INGREDIENTES,AN3,MS)*(FORMULAÇÃO!$E$15/100)</f>
        <v>0.1</v>
      </c>
      <c r="AO7" s="197">
        <f>IF(AN7&gt;0,((AN7/$D$7)*100),"")</f>
        <v>0.1130940051068344</v>
      </c>
      <c r="AP7" s="198"/>
      <c r="AQ7" s="203">
        <f>SUMIF(INGREDIENTES,AQ3,MS)*(FORMULAÇÃO!$E$16/100)</f>
        <v>0.27198975563417926</v>
      </c>
      <c r="AR7" s="197">
        <f>IF(AQ7&gt;0,((AQ7/$D$7)*100),"")</f>
        <v>0.30760410812698508</v>
      </c>
      <c r="AS7" s="198"/>
      <c r="AT7" s="203">
        <f>SUMIF(INGREDIENTES,AT3,MS)*(FORMULAÇÃO!$E$17/100)</f>
        <v>17.419999999999998</v>
      </c>
      <c r="AU7" s="197">
        <f>IF(AT7&gt;0,((AT7/$D$7)*100),"")</f>
        <v>19.700975689610551</v>
      </c>
      <c r="AV7" s="198"/>
      <c r="AW7" s="203">
        <f>SUMIF(INGREDIENTES,AW3,MS)*(FORMULAÇÃO!$E$18/100)</f>
        <v>0.99</v>
      </c>
      <c r="AX7" s="197">
        <f>IF(AW7&gt;0,((AW7/$D$7)*100),"")</f>
        <v>1.1196306505576605</v>
      </c>
      <c r="AY7" s="198"/>
      <c r="AZ7" s="204">
        <f>SUMIF(INGREDIENTES,AZ3,MS)*(FORMULAÇÃO!$E$19/100)</f>
        <v>8.85</v>
      </c>
      <c r="BA7" s="205">
        <f>IF(AZ7&gt;0,((AZ7/$D$7)*100),"")</f>
        <v>10.008819451954844</v>
      </c>
      <c r="BB7" s="198"/>
      <c r="BC7" s="203">
        <f>SUMIF(INGREDIENTES,BC3,MS)*(FORMULAÇÃO!$E$20/100)</f>
        <v>0.1</v>
      </c>
      <c r="BD7" s="197">
        <f>IF(BC7&gt;0,((BC7/$D$7)*100),"")</f>
        <v>0.1130940051068344</v>
      </c>
      <c r="BE7" s="198"/>
      <c r="BF7" s="204">
        <f>SUMIF(INGREDIENTES,BF3,MS)*(FORMULAÇÃO!$E$21/100)</f>
        <v>0</v>
      </c>
      <c r="BG7" s="197" t="str">
        <f>IF(BF7&gt;0,((BF7/$D$7)*100),"")</f>
        <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11.500000000000002</v>
      </c>
      <c r="E8" s="195"/>
      <c r="F8" s="195"/>
      <c r="G8" s="203">
        <f>SUMIF(INGREDIENTES,G3,PB)*(FORMULAÇÃO!$E$4/100)</f>
        <v>3.8082162269887445</v>
      </c>
      <c r="H8" s="197">
        <f>IF(G8&gt;0,((G8/$D$8)*100),"")</f>
        <v>33.114923712945597</v>
      </c>
      <c r="I8" s="198"/>
      <c r="J8" s="203">
        <f>SUMIF(INGREDIENTES,J3,PB)*(FORMULAÇÃO!$E$5/100)</f>
        <v>1.8086824151095677</v>
      </c>
      <c r="K8" s="197">
        <f>IF(J8&gt;0,((J8/$D$8)*100),"")</f>
        <v>15.727673174865803</v>
      </c>
      <c r="L8" s="198"/>
      <c r="M8" s="203">
        <f>SUMIF(INGREDIENTES,M3,PB)*(FORMULAÇÃO!$E$6/100)</f>
        <v>0.86899999999999999</v>
      </c>
      <c r="N8" s="197">
        <f>IF(M8&gt;0,((M8/$D$8)*100),"")</f>
        <v>7.5565217391304342</v>
      </c>
      <c r="O8" s="198"/>
      <c r="P8" s="203">
        <f>SUMIF(INGREDIENTES,P3,PB)*(FORMULAÇÃO!$E$7/100)</f>
        <v>0</v>
      </c>
      <c r="Q8" s="197" t="str">
        <f>IF(P8&gt;0,((P8/$D$8)*100),"")</f>
        <v/>
      </c>
      <c r="R8" s="198"/>
      <c r="S8" s="203">
        <f>SUMIF(INGREDIENTES,S3,PB)*(FORMULAÇÃO!$E$8/100)</f>
        <v>2.0741013579016898</v>
      </c>
      <c r="T8" s="197">
        <f>IF(S8&gt;0,((S8/$D$8)*100),"")</f>
        <v>18.035663981753821</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v>
      </c>
      <c r="AF8" s="197" t="str">
        <f>IF(AE8&gt;0,((AE8/$D$8)*100),"")</f>
        <v/>
      </c>
      <c r="AG8" s="198"/>
      <c r="AH8" s="203">
        <f>SUMIF(INGREDIENTES,AH3,PB)*(FORMULAÇÃO!$E$13/100)</f>
        <v>0</v>
      </c>
      <c r="AI8" s="197" t="str">
        <f>IF(AH8&gt;0,((AH8/$D$8)*100),"")</f>
        <v/>
      </c>
      <c r="AJ8" s="198"/>
      <c r="AK8" s="203">
        <f>SUMIF(INGREDIENTES,AK3,PB)*(FORMULAÇÃO!$E$14/100)</f>
        <v>0</v>
      </c>
      <c r="AL8" s="197" t="str">
        <f>IF(AK8&gt;0,((AK8/$D$8)*100),"")</f>
        <v/>
      </c>
      <c r="AM8" s="198"/>
      <c r="AN8" s="203">
        <f>SUMIF(INGREDIENTES,AN3,PB)*(FORMULAÇÃO!$E$15/100)</f>
        <v>0</v>
      </c>
      <c r="AO8" s="197" t="str">
        <f>IF(AN8&gt;0,((AN8/$D$8)*100),"")</f>
        <v/>
      </c>
      <c r="AP8" s="198"/>
      <c r="AQ8" s="203">
        <f>SUMIF(INGREDIENTES,AQ3,PB)*(FORMULAÇÃO!$E$16/100)</f>
        <v>0</v>
      </c>
      <c r="AR8" s="197" t="str">
        <f>IF(AQ8&gt;0,((AQ8/$D$8)*100),"")</f>
        <v/>
      </c>
      <c r="AS8" s="198"/>
      <c r="AT8" s="203">
        <f>SUMIF(INGREDIENTES,AT3,PB)*(FORMULAÇÃO!$E$17/100)</f>
        <v>1.75</v>
      </c>
      <c r="AU8" s="197">
        <f>IF(AT8&gt;0,((AT8/$D$8)*100),"")</f>
        <v>15.217391304347824</v>
      </c>
      <c r="AV8" s="198"/>
      <c r="AW8" s="204">
        <f>SUMIF(INGREDIENTES,AW3,PB)*(FORMULAÇÃO!$E$18/100)</f>
        <v>0</v>
      </c>
      <c r="AX8" s="197" t="str">
        <f>IF(AW8&gt;0,((AW8/$D$8)*100),"")</f>
        <v/>
      </c>
      <c r="AY8" s="198"/>
      <c r="AZ8" s="204">
        <f>SUMIF(INGREDIENTES,AZ3,PB)*(FORMULAÇÃO!$E$19/100)</f>
        <v>1.1900000000000002</v>
      </c>
      <c r="BA8" s="205">
        <f>IF(AZ8&gt;0,((AZ8/$D$8)*100),"")</f>
        <v>10.347826086956522</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3.9827462146134311</v>
      </c>
      <c r="E9" s="202"/>
      <c r="F9" s="202"/>
      <c r="G9" s="203">
        <f>SUMIF(INGREDIENTES,G3,EE)*(FORMULAÇÃO!$E$4/100)</f>
        <v>1.8366207373198882</v>
      </c>
      <c r="H9" s="197">
        <f>IF(G9&gt;0,((G9/$D$9)*100),"")</f>
        <v>46.114430555002166</v>
      </c>
      <c r="I9" s="198"/>
      <c r="J9" s="203">
        <f>SUMIF(INGREDIENTES,J3,EE)*(FORMULAÇÃO!$E$5/100)</f>
        <v>7.7685698446336063E-2</v>
      </c>
      <c r="K9" s="197">
        <f>IF(J9&gt;0,((J9/$D$9)*100),"")</f>
        <v>1.9505560801562725</v>
      </c>
      <c r="L9" s="198"/>
      <c r="M9" s="203">
        <f>SUMIF(INGREDIENTES,M3,EE)*(FORMULAÇÃO!$E$6/100)</f>
        <v>0.82799999999999996</v>
      </c>
      <c r="N9" s="197">
        <f>IF(M9&gt;0,((M9/$D$9)*100),"")</f>
        <v>20.789675148316384</v>
      </c>
      <c r="O9" s="198"/>
      <c r="P9" s="203">
        <f>SUMIF(INGREDIENTES,P3,EE)*(FORMULAÇÃO!$E$7/100)</f>
        <v>0</v>
      </c>
      <c r="Q9" s="197" t="str">
        <f>IF(P9&gt;0,((P9/$D$9)*100),"")</f>
        <v/>
      </c>
      <c r="R9" s="198"/>
      <c r="S9" s="203">
        <f>SUMIF(INGREDIENTES,S3,EE)*(FORMULAÇÃO!$E$8/100)</f>
        <v>0.48943977884720719</v>
      </c>
      <c r="T9" s="197">
        <f>IF(S9&gt;0,((S9/$D$9)*100),"")</f>
        <v>12.289002423788951</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0</v>
      </c>
      <c r="AI9" s="197" t="str">
        <f>IF(AH9&gt;0,((AH9/$D$9)*100),"")</f>
        <v/>
      </c>
      <c r="AJ9" s="198"/>
      <c r="AK9" s="203">
        <f>SUMIF(INGREDIENTES,AK3,EE)*(FORMULAÇÃO!$E$14/100)</f>
        <v>0</v>
      </c>
      <c r="AL9" s="197" t="str">
        <f>IF(AK9&gt;0,((AK9/$D$9)*100),"")</f>
        <v/>
      </c>
      <c r="AM9" s="198"/>
      <c r="AN9" s="203">
        <f>SUMIF(INGREDIENTES,AN3,EE)*(FORMULAÇÃO!$E$15/100)</f>
        <v>0</v>
      </c>
      <c r="AO9" s="197" t="str">
        <f>IF(AN9&gt;0,((AN9/$D$9)*100),"")</f>
        <v/>
      </c>
      <c r="AP9" s="198"/>
      <c r="AQ9" s="203">
        <f>SUMIF(INGREDIENTES,AQ3,EE)*(FORMULAÇÃO!$E$16/100)</f>
        <v>0</v>
      </c>
      <c r="AR9" s="197" t="str">
        <f>IF(AQ9&gt;0,((AQ9/$D$9)*100),"")</f>
        <v/>
      </c>
      <c r="AS9" s="198"/>
      <c r="AT9" s="203">
        <f>SUMIF(INGREDIENTES,AT3,EE)*(FORMULAÇÃO!$E$17/100)</f>
        <v>0.67</v>
      </c>
      <c r="AU9" s="197">
        <f>IF(AT9&gt;0,((AT9/$D$9)*100),"")</f>
        <v>16.8225632238792</v>
      </c>
      <c r="AV9" s="198"/>
      <c r="AW9" s="204">
        <f>SUMIF(INGREDIENTES,AW3,EE)*(FORMULAÇÃO!$E$18/100)</f>
        <v>0</v>
      </c>
      <c r="AX9" s="197" t="str">
        <f>IF(AW9&gt;0,((AW9/$D$9)*100),"")</f>
        <v/>
      </c>
      <c r="AY9" s="198"/>
      <c r="AZ9" s="204">
        <f>SUMIF(INGREDIENTES,AZ3,EE)*(FORMULAÇÃO!$E$19/100)</f>
        <v>8.1000000000000016E-2</v>
      </c>
      <c r="BA9" s="205">
        <f>IF(AZ9&gt;0,((AZ9/$D$9)*100),"")</f>
        <v>2.0337725688570378</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1.5365261708893148</v>
      </c>
      <c r="E10" s="195"/>
      <c r="F10" s="195"/>
      <c r="G10" s="203">
        <f>SUMIF(INGREDIENTES,G3,AC_LINOLEICO)*(FORMULAÇÃO!$E$4/100)</f>
        <v>0.92072063209474697</v>
      </c>
      <c r="H10" s="197">
        <f>IF(G10&gt;0,((G10/$D$10)*100),"")</f>
        <v>59.922222578340453</v>
      </c>
      <c r="I10" s="198"/>
      <c r="J10" s="203">
        <f>SUMIF(INGREDIENTES,J3,AC_LINOLEICO)*(FORMULAÇÃO!$E$5/100)</f>
        <v>2.6692009209766752E-2</v>
      </c>
      <c r="K10" s="197">
        <f>IF(J10&gt;0,((J10/$D$10)*100),"")</f>
        <v>1.7371659341355623</v>
      </c>
      <c r="L10" s="198"/>
      <c r="M10" s="203">
        <f>SUMIF(INGREDIENTES,M3,AC_LINOLEICO)*(FORMULAÇÃO!$E$6/100)</f>
        <v>0</v>
      </c>
      <c r="N10" s="197" t="str">
        <f>IF(M10&gt;0,((M10/$D$10)*100),"")</f>
        <v/>
      </c>
      <c r="O10" s="198"/>
      <c r="P10" s="203">
        <f>SUMIF(INGREDIENTES,P3,AC_LINOLEICO)*(FORMULAÇÃO!$E$7/100)</f>
        <v>1.0676945040322636E-2</v>
      </c>
      <c r="Q10" s="197">
        <f>IF(P10&gt;0,((P10/$D$10)*100),"")</f>
        <v>0.69487557339443207</v>
      </c>
      <c r="R10" s="198"/>
      <c r="S10" s="203">
        <f>SUMIF(INGREDIENTES,S3,AC_LINOLEICO)*(FORMULAÇÃO!$E$8/100)</f>
        <v>1.2436584544478215E-2</v>
      </c>
      <c r="T10" s="197">
        <f>IF(S10&gt;0,((S10/$D$10)*100),"")</f>
        <v>0.80939620685276936</v>
      </c>
      <c r="U10" s="198"/>
      <c r="V10" s="203">
        <f>SUMIF(INGREDIENTES,V3,AC_LINOLEICO)*(FORMULAÇÃO!$E$9/100)</f>
        <v>0</v>
      </c>
      <c r="W10" s="197" t="str">
        <f>IF(V10&gt;0,((V10/$D$10)*100),"")</f>
        <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0</v>
      </c>
      <c r="AO10" s="197" t="str">
        <f>IF(AN10&gt;0,((AN10/$D$10)*100),"")</f>
        <v/>
      </c>
      <c r="AP10" s="198"/>
      <c r="AQ10" s="203">
        <f>SUMIF(INGREDIENTES,AQ3,AC_LINOLEICO)*(FORMULAÇÃO!$E$16/100)</f>
        <v>0</v>
      </c>
      <c r="AR10" s="197" t="str">
        <f>IF(AQ10&gt;0,((AQ10/$D$10)*100),"")</f>
        <v/>
      </c>
      <c r="AS10" s="198"/>
      <c r="AT10" s="203">
        <f>SUMIF(INGREDIENTES,AT3,AC_LINOLEICO)*(FORMULAÇÃO!$E$17/100)</f>
        <v>0.52</v>
      </c>
      <c r="AU10" s="197">
        <f>IF(AT10&gt;0,((AT10/$D$10)*100),"")</f>
        <v>33.842573582657103</v>
      </c>
      <c r="AV10" s="198"/>
      <c r="AW10" s="204">
        <f>SUMIF(INGREDIENTES,AW3,AC_LINOLEICO)*(FORMULAÇÃO!$E$18/100)</f>
        <v>0</v>
      </c>
      <c r="AX10" s="197" t="str">
        <f>IF(AW10&gt;0,((AW10/$D$10)*100),"")</f>
        <v/>
      </c>
      <c r="AY10" s="198"/>
      <c r="AZ10" s="204">
        <f>SUMIF(INGREDIENTES,AZ3,AC_LINOLEICO)*(FORMULAÇÃO!$E$19/100)</f>
        <v>4.6000000000000006E-2</v>
      </c>
      <c r="BA10" s="205">
        <f>IF(AZ10&gt;0,((AZ10/$D$10)*100),"")</f>
        <v>2.9937661246196674</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1.963567812261938</v>
      </c>
      <c r="E11" s="195"/>
      <c r="F11" s="195"/>
      <c r="G11" s="203">
        <f>SUMIF(INGREDIENTES,G3,FB)*(FORMULAÇÃO!$E$4/100)</f>
        <v>0.83395114844183893</v>
      </c>
      <c r="H11" s="197">
        <f>IF(G11&gt;0,((G11/$D$11)*100),"")</f>
        <v>42.471217099508593</v>
      </c>
      <c r="I11" s="198"/>
      <c r="J11" s="203">
        <f>SUMIF(INGREDIENTES,J3,FB)*(FORMULAÇÃO!$E$5/100)</f>
        <v>0.19361666382009912</v>
      </c>
      <c r="K11" s="197">
        <f>IF(J11&gt;0,((J11/$D$11)*100),"")</f>
        <v>9.8604521122732098</v>
      </c>
      <c r="L11" s="198"/>
      <c r="M11" s="203">
        <f>SUMIF(INGREDIENTES,M3,FB)*(FORMULAÇÃO!$E$6/100)</f>
        <v>0.17</v>
      </c>
      <c r="N11" s="197">
        <f>IF(M11&gt;0,((M11/$D$11)*100),"")</f>
        <v>8.6577096517062984</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v>
      </c>
      <c r="AR11" s="197" t="str">
        <f>IF(AQ11&gt;0,((AQ11/$D$11)*100),"")</f>
        <v/>
      </c>
      <c r="AS11" s="198"/>
      <c r="AT11" s="203">
        <f>SUMIF(INGREDIENTES,AT3,FB)*(FORMULAÇÃO!$E$17/100)</f>
        <v>0.57800000000000007</v>
      </c>
      <c r="AU11" s="197">
        <f>IF(AT11&gt;0,((AT11/$D$11)*100),"")</f>
        <v>29.436212815801415</v>
      </c>
      <c r="AV11" s="198"/>
      <c r="AW11" s="204">
        <f>SUMIF(INGREDIENTES,AW3,FB)*(FORMULAÇÃO!$E$18/100)</f>
        <v>0</v>
      </c>
      <c r="AX11" s="197" t="str">
        <f>IF(AW11&gt;0,((AW11/$D$11)*100),"")</f>
        <v/>
      </c>
      <c r="AY11" s="198"/>
      <c r="AZ11" s="204">
        <f>SUMIF(INGREDIENTES,AZ3,FB)*(FORMULAÇÃO!$E$19/100)</f>
        <v>0.188</v>
      </c>
      <c r="BA11" s="205">
        <f>IF(AZ11&gt;0,((AZ11/$D$11)*100),"")</f>
        <v>9.5744083207104946</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0.49699999999999711</v>
      </c>
      <c r="E12" s="202"/>
      <c r="F12" s="202"/>
      <c r="G12" s="203">
        <f>SUMIF(INGREDIENTES,G3,MM)*(FORMULAÇÃO!$E$4/100)</f>
        <v>9.6410537392120112E-3</v>
      </c>
      <c r="H12" s="197">
        <f>IF(G12&gt;0,((G12/$D$12)*100),"")</f>
        <v>1.9398498469239571</v>
      </c>
      <c r="I12" s="198"/>
      <c r="J12" s="203">
        <f>SUMIF(INGREDIENTES,J3,MM)*(FORMULAÇÃO!$E$5/100)</f>
        <v>1.3545198703463726E-2</v>
      </c>
      <c r="K12" s="197">
        <f>IF(J12&gt;0,((J12/$D$12)*100),"")</f>
        <v>2.7253920932522746</v>
      </c>
      <c r="L12" s="198"/>
      <c r="M12" s="203">
        <f>SUMIF(INGREDIENTES,M3,MM)*(FORMULAÇÃO!$E$6/100)</f>
        <v>5.000000000000001E-3</v>
      </c>
      <c r="N12" s="197">
        <f>IF(M12&gt;0,((M12/$D$12)*100),"")</f>
        <v>1.0060362173038291</v>
      </c>
      <c r="O12" s="198"/>
      <c r="P12" s="203">
        <f>SUMIF(INGREDIENTES,P3,MM)*(FORMULAÇÃO!$E$7/100)</f>
        <v>0</v>
      </c>
      <c r="Q12" s="197" t="str">
        <f>IF(P12&gt;0,((P12/$D$12)*100),"")</f>
        <v/>
      </c>
      <c r="R12" s="198"/>
      <c r="S12" s="203">
        <f>SUMIF(INGREDIENTES,S3,MM)*(FORMULAÇÃO!$E$8/100)</f>
        <v>0.38272585985265217</v>
      </c>
      <c r="T12" s="197">
        <f>IF(S12&gt;0,((S12/$D$12)*100),"")</f>
        <v>77.0072152621035</v>
      </c>
      <c r="U12" s="198"/>
      <c r="V12" s="203">
        <f>SUMIF(INGREDIENTES,V3,MM)*(FORMULAÇÃO!$E$9/100)</f>
        <v>0</v>
      </c>
      <c r="W12" s="197" t="str">
        <f>IF(V12&gt;0,((V12/$D$12)*100),"")</f>
        <v/>
      </c>
      <c r="X12" s="198"/>
      <c r="Y12" s="203">
        <f>SUMIF(INGREDIENTES,Y3,MM)*(FORMULAÇÃO!$E$10/100)</f>
        <v>7.208788770466916E-2</v>
      </c>
      <c r="Z12" s="197">
        <f>IF(Y12&gt;0,((Y12/$D$12)*100),"")</f>
        <v>14.504605171965709</v>
      </c>
      <c r="AA12" s="198"/>
      <c r="AB12" s="203">
        <f>SUMIF(INGREDIENTES,AB3,MM)*(FORMULAÇÃO!$E$11/100)</f>
        <v>0</v>
      </c>
      <c r="AC12" s="197" t="str">
        <f>IF(AB12&gt;0,((AB12/$D$12)*100),"")</f>
        <v/>
      </c>
      <c r="AD12" s="198"/>
      <c r="AE12" s="203">
        <f>SUMIF(INGREDIENTES,AE3,MM)*(FORMULAÇÃO!$E$12/100)</f>
        <v>0</v>
      </c>
      <c r="AF12" s="197" t="str">
        <f>IF(AE12&gt;0,((AE12/$D$12)*100),"")</f>
        <v/>
      </c>
      <c r="AG12" s="198"/>
      <c r="AH12" s="203">
        <f>SUMIF(INGREDIENTES,AH3,MM)*(FORMULAÇÃO!$E$13/100)</f>
        <v>0</v>
      </c>
      <c r="AI12" s="197" t="str">
        <f>IF(AH12&gt;0,((AH12/$D$12)*100),"")</f>
        <v/>
      </c>
      <c r="AJ12" s="198"/>
      <c r="AK12" s="203">
        <f>SUMIF(INGREDIENTES,AK3,MM)*(FORMULAÇÃO!$E$14/100)</f>
        <v>0</v>
      </c>
      <c r="AL12" s="197" t="str">
        <f>IF(AK12&gt;0,((AK12/$D$12)*100),"")</f>
        <v/>
      </c>
      <c r="AM12" s="198"/>
      <c r="AN12" s="203">
        <f>SUMIF(INGREDIENTES,AN3,MM)*(FORMULAÇÃO!$E$15/100)</f>
        <v>0</v>
      </c>
      <c r="AO12" s="197" t="str">
        <f>IF(AN12&gt;0,((AN12/$D$12)*100),"")</f>
        <v/>
      </c>
      <c r="AP12" s="198"/>
      <c r="AQ12" s="203">
        <f>SUMIF(INGREDIENTES,AQ3,MM)*(FORMULAÇÃO!$E$16/100)</f>
        <v>0</v>
      </c>
      <c r="AR12" s="197" t="str">
        <f>IF(AQ12&gt;0,((AQ12/$D$12)*100),"")</f>
        <v/>
      </c>
      <c r="AS12" s="198"/>
      <c r="AT12" s="203">
        <f>SUMIF(INGREDIENTES,AT3,MM)*(FORMULAÇÃO!$E$17/100)</f>
        <v>6.0000000000000001E-3</v>
      </c>
      <c r="AU12" s="197">
        <f>IF(AT12&gt;0,((AT12/$D$12)*100),"")</f>
        <v>1.2072434607645945</v>
      </c>
      <c r="AV12" s="198"/>
      <c r="AW12" s="204">
        <f>SUMIF(INGREDIENTES,AW3,MM)*(FORMULAÇÃO!$E$18/100)</f>
        <v>0</v>
      </c>
      <c r="AX12" s="197" t="str">
        <f>IF(AW12&gt;0,((AW12/$D$12)*100),"")</f>
        <v/>
      </c>
      <c r="AY12" s="198"/>
      <c r="AZ12" s="204">
        <f>SUMIF(INGREDIENTES,AZ3,MM)*(FORMULAÇÃO!$E$19/100)</f>
        <v>8.0000000000000002E-3</v>
      </c>
      <c r="BA12" s="205">
        <f>IF(AZ12&gt;0,((AZ12/$D$12)*100),"")</f>
        <v>1.6096579476861261</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0.4083681057873047</v>
      </c>
      <c r="E13" s="195"/>
      <c r="F13" s="195"/>
      <c r="G13" s="203">
        <f>SUMIF(INGREDIENTES,G3,CA)*(FORMULAÇÃO!$E$4/100)</f>
        <v>0.11569264487054413</v>
      </c>
      <c r="H13" s="197">
        <f>IF(G13&gt;0,((G13/$D$13)*100),"")</f>
        <v>28.330480081811711</v>
      </c>
      <c r="I13" s="198"/>
      <c r="J13" s="203">
        <f>SUMIF(INGREDIENTES,J3,CA)*(FORMULAÇÃO!$E$5/100)</f>
        <v>2.1911350843838381E-2</v>
      </c>
      <c r="K13" s="197">
        <f>IF(J13&gt;0,((J13/$D$13)*100),"")</f>
        <v>5.3655881870585498</v>
      </c>
      <c r="L13" s="198"/>
      <c r="M13" s="203">
        <f>SUMIF(INGREDIENTES,M3,CA)*(FORMULAÇÃO!$E$6/100)</f>
        <v>1.4999999999999999E-2</v>
      </c>
      <c r="N13" s="197">
        <f>IF(M13&gt;0,((M13/$D$13)*100),"")</f>
        <v>3.6731565926484548</v>
      </c>
      <c r="O13" s="198"/>
      <c r="P13" s="203">
        <f>SUMIF(INGREDIENTES,P3,CA)*(FORMULAÇÃO!$E$7/100)</f>
        <v>0</v>
      </c>
      <c r="Q13" s="197" t="str">
        <f>IF(P13&gt;0,((P13/$D$13)*100),"")</f>
        <v/>
      </c>
      <c r="R13" s="198"/>
      <c r="S13" s="203">
        <f>SUMIF(INGREDIENTES,S3,CA)*(FORMULAÇÃO!$E$8/100)</f>
        <v>0.19176411007292218</v>
      </c>
      <c r="T13" s="197">
        <f>IF(S13&gt;0,((S13/$D$13)*100),"")</f>
        <v>46.958640343181209</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v>
      </c>
      <c r="AC13" s="197" t="str">
        <f>IF(AB13&gt;0,((AB13/$D$13)*100),"")</f>
        <v/>
      </c>
      <c r="AD13" s="198"/>
      <c r="AE13" s="203">
        <f>SUMIF(INGREDIENTES,AE3,CA)*(FORMULAÇÃO!$E$12/100)</f>
        <v>0</v>
      </c>
      <c r="AF13" s="197" t="str">
        <f>IF(AE13&gt;0,((AE13/$D$13)*100),"")</f>
        <v/>
      </c>
      <c r="AG13" s="198"/>
      <c r="AH13" s="203">
        <f>SUMIF(INGREDIENTES,AH3,CA)*(FORMULAÇÃO!$E$13/100)</f>
        <v>0</v>
      </c>
      <c r="AI13" s="197" t="str">
        <f>IF(AH13&gt;0,((AH13/$D$13)*100),"")</f>
        <v/>
      </c>
      <c r="AJ13" s="198"/>
      <c r="AK13" s="203">
        <f>SUMIF(INGREDIENTES,AK3,CA)*(FORMULAÇÃO!$E$14/100)</f>
        <v>0</v>
      </c>
      <c r="AL13" s="197" t="str">
        <f>IF(AK13&gt;0,((AK13/$D$13)*100),"")</f>
        <v/>
      </c>
      <c r="AM13" s="198"/>
      <c r="AN13" s="203">
        <f>SUMIF(INGREDIENTES,AN3,CA)*(FORMULAÇÃO!$E$15/100)</f>
        <v>0</v>
      </c>
      <c r="AO13" s="197" t="str">
        <f>IF(AN13&gt;0,((AN13/$D$13)*100),"")</f>
        <v/>
      </c>
      <c r="AP13" s="198"/>
      <c r="AQ13" s="203">
        <f>SUMIF(INGREDIENTES,AQ3,CA)*(FORMULAÇÃO!$E$16/100)</f>
        <v>0</v>
      </c>
      <c r="AR13" s="197" t="str">
        <f>IF(AQ13&gt;0,((AQ13/$D$13)*100),"")</f>
        <v/>
      </c>
      <c r="AS13" s="198"/>
      <c r="AT13" s="203">
        <f>SUMIF(INGREDIENTES,AT3,CA)*(FORMULAÇÃO!$E$17/100)</f>
        <v>4.6000000000000006E-2</v>
      </c>
      <c r="AU13" s="197">
        <f>IF(AT13&gt;0,((AT13/$D$13)*100),"")</f>
        <v>11.264346884121929</v>
      </c>
      <c r="AV13" s="198"/>
      <c r="AW13" s="204">
        <f>SUMIF(INGREDIENTES,AW3,CA)*(FORMULAÇÃO!$E$18/100)</f>
        <v>0</v>
      </c>
      <c r="AX13" s="197" t="str">
        <f>IF(AW13&gt;0,((AW13/$D$13)*100),"")</f>
        <v/>
      </c>
      <c r="AY13" s="198"/>
      <c r="AZ13" s="204">
        <f>SUMIF(INGREDIENTES,AZ3,CA)*(FORMULAÇÃO!$E$19/100)</f>
        <v>1.7999999999999999E-2</v>
      </c>
      <c r="BA13" s="205">
        <f>IF(AZ13&gt;0,((AZ13/$D$13)*100),"")</f>
        <v>4.4077879111781462</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0.24200000000000005</v>
      </c>
      <c r="E14" s="202"/>
      <c r="F14" s="202"/>
      <c r="G14" s="203">
        <f>SUMIF(INGREDIENTES,G3,P_TOT)*(FORMULAÇÃO!$E$4/100)</f>
        <v>2.8923161217636034E-2</v>
      </c>
      <c r="H14" s="197">
        <f>IF(G14&gt;0,((G14/$D$14)*100),"")</f>
        <v>11.951719511419846</v>
      </c>
      <c r="I14" s="198"/>
      <c r="J14" s="203">
        <f>SUMIF(INGREDIENTES,J3,P_TOT)*(FORMULAÇÃO!$E$5/100)</f>
        <v>7.5693757460532579E-3</v>
      </c>
      <c r="K14" s="197">
        <f>IF(J14&gt;0,((J14/$D$14)*100),"")</f>
        <v>3.1278412173773784</v>
      </c>
      <c r="L14" s="198"/>
      <c r="M14" s="203">
        <f>SUMIF(INGREDIENTES,M3,P_TOT)*(FORMULAÇÃO!$E$6/100)</f>
        <v>1.0000000000000002E-2</v>
      </c>
      <c r="N14" s="197">
        <f>IF(M14&gt;0,((M14/$D$14)*100),"")</f>
        <v>4.1322314049586781</v>
      </c>
      <c r="O14" s="198"/>
      <c r="P14" s="203">
        <f>SUMIF(INGREDIENTES,P3,P_TOT)*(FORMULAÇÃO!$E$7/100)</f>
        <v>0</v>
      </c>
      <c r="Q14" s="197" t="str">
        <f>IF(P14&gt;0,((P14/$D$14)*100),"")</f>
        <v/>
      </c>
      <c r="R14" s="198"/>
      <c r="S14" s="203">
        <f>SUMIF(INGREDIENTES,S3,P_TOT)*(FORMULAÇÃO!$E$8/100)</f>
        <v>0.17250746303631073</v>
      </c>
      <c r="T14" s="197">
        <f>IF(S14&gt;0,((S14/$D$14)*100),"")</f>
        <v>71.284075634839127</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v>
      </c>
      <c r="AC14" s="197" t="str">
        <f>IF(AB14&gt;0,((AB14/$D$14)*100),"")</f>
        <v/>
      </c>
      <c r="AD14" s="198"/>
      <c r="AE14" s="203">
        <f>SUMIF(INGREDIENTES,AE3,P_TOT)*(FORMULAÇÃO!$E$12/100)</f>
        <v>0</v>
      </c>
      <c r="AF14" s="197" t="str">
        <f>IF(AE14&gt;0,((AE14/$D$14)*100),"")</f>
        <v/>
      </c>
      <c r="AG14" s="198"/>
      <c r="AH14" s="203">
        <f>SUMIF(INGREDIENTES,AH3,P_TOT)*(FORMULAÇÃO!$E$13/100)</f>
        <v>0</v>
      </c>
      <c r="AI14" s="197" t="str">
        <f>IF(AH14&gt;0,((AH14/$D$14)*100),"")</f>
        <v/>
      </c>
      <c r="AJ14" s="198"/>
      <c r="AK14" s="203">
        <f>SUMIF(INGREDIENTES,AK3,P_TOT)*(FORMULAÇÃO!$E$14/100)</f>
        <v>0</v>
      </c>
      <c r="AL14" s="197" t="str">
        <f>IF(AK14&gt;0,((AK14/$D$14)*100),"")</f>
        <v/>
      </c>
      <c r="AM14" s="198"/>
      <c r="AN14" s="203">
        <f>SUMIF(INGREDIENTES,AN3,P_TOT)*(FORMULAÇÃO!$E$15/100)</f>
        <v>0</v>
      </c>
      <c r="AO14" s="197" t="str">
        <f>IF(AN14&gt;0,((AN14/$D$14)*100),"")</f>
        <v/>
      </c>
      <c r="AP14" s="198"/>
      <c r="AQ14" s="203">
        <f>SUMIF(INGREDIENTES,AQ3,P_TOT)*(FORMULAÇÃO!$E$16/100)</f>
        <v>0</v>
      </c>
      <c r="AR14" s="197" t="str">
        <f>IF(AQ14&gt;0,((AQ14/$D$14)*100),"")</f>
        <v/>
      </c>
      <c r="AS14" s="198"/>
      <c r="AT14" s="203">
        <f>SUMIF(INGREDIENTES,AT3,P_TOT)*(FORMULAÇÃO!$E$17/100)</f>
        <v>1.4000000000000002E-2</v>
      </c>
      <c r="AU14" s="197">
        <f>IF(AT14&gt;0,((AT14/$D$14)*100),"")</f>
        <v>5.7851239669421481</v>
      </c>
      <c r="AV14" s="198"/>
      <c r="AW14" s="204">
        <f>SUMIF(INGREDIENTES,AW3,P_TOT)*(FORMULAÇÃO!$E$18/100)</f>
        <v>0</v>
      </c>
      <c r="AX14" s="197" t="str">
        <f>IF(AW14&gt;0,((AW14/$D$14)*100),"")</f>
        <v/>
      </c>
      <c r="AY14" s="198"/>
      <c r="AZ14" s="204">
        <f>SUMIF(INGREDIENTES,AZ3,P_TOT)*(FORMULAÇÃO!$E$19/100)</f>
        <v>8.9999999999999993E-3</v>
      </c>
      <c r="BA14" s="205">
        <f>IF(AZ14&gt;0,((AZ14/$D$14)*100),"")</f>
        <v>3.7190082644628086</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0.14711145875069323</v>
      </c>
      <c r="E15" s="195"/>
      <c r="F15" s="195"/>
      <c r="G15" s="203">
        <f>SUMIF(INGREDIENTES,G3,P_DISP)*(FORMULAÇÃO!$E$4/100)</f>
        <v>8.6769483652908097E-2</v>
      </c>
      <c r="H15" s="197">
        <f>IF(G15&gt;0,((G15/$D$15)*100),"")</f>
        <v>58.982138026348139</v>
      </c>
      <c r="I15" s="198"/>
      <c r="J15" s="203">
        <f>SUMIF(INGREDIENTES,J3,P_DISP)*(FORMULAÇÃO!$E$5/100)</f>
        <v>1.434197509778512E-2</v>
      </c>
      <c r="K15" s="197">
        <f>IF(J15&gt;0,((J15/$D$15)*100),"")</f>
        <v>9.7490536900257183</v>
      </c>
      <c r="L15" s="198"/>
      <c r="M15" s="203">
        <f>SUMIF(INGREDIENTES,M3,P_DISP)*(FORMULAÇÃO!$E$6/100)</f>
        <v>5.000000000000001E-3</v>
      </c>
      <c r="N15" s="197">
        <f>IF(M15&gt;0,((M15/$D$15)*100),"")</f>
        <v>3.3987835090897969</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0</v>
      </c>
      <c r="AR15" s="197" t="str">
        <f>IF(AQ15&gt;0,((AQ15/$D$15)*100),"")</f>
        <v/>
      </c>
      <c r="AS15" s="198"/>
      <c r="AT15" s="203">
        <f>SUMIF(INGREDIENTES,AT3,P_DISP)*(FORMULAÇÃO!$E$17/100)</f>
        <v>3.2000000000000001E-2</v>
      </c>
      <c r="AU15" s="197">
        <f>IF(AT15&gt;0,((AT15/$D$15)*100),"")</f>
        <v>21.752214458174699</v>
      </c>
      <c r="AV15" s="198"/>
      <c r="AW15" s="204">
        <f>SUMIF(INGREDIENTES,AW3,P_DISP)*(FORMULAÇÃO!$E$18/100)</f>
        <v>0</v>
      </c>
      <c r="AX15" s="197" t="str">
        <f>IF(AW15&gt;0,((AW15/$D$15)*100),"")</f>
        <v/>
      </c>
      <c r="AY15" s="198"/>
      <c r="AZ15" s="204">
        <f>SUMIF(INGREDIENTES,AZ3,P_DISP)*(FORMULAÇÃO!$E$19/100)</f>
        <v>8.9999999999999993E-3</v>
      </c>
      <c r="BA15" s="205">
        <f>IF(AZ15&gt;0,((AZ15/$D$15)*100),"")</f>
        <v>6.1178103163616333</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0.28342444767739172</v>
      </c>
      <c r="E16" s="202"/>
      <c r="F16" s="202"/>
      <c r="G16" s="203">
        <f>SUMIF(INGREDIENTES,G3,K)*(FORMULAÇÃO!$E$4/100)</f>
        <v>0.15425685982739218</v>
      </c>
      <c r="H16" s="197">
        <f>IF(G16&gt;0,((G16/$D$16)*100),"")</f>
        <v>54.42609524037082</v>
      </c>
      <c r="I16" s="198"/>
      <c r="J16" s="203">
        <f>SUMIF(INGREDIENTES,J3,K)*(FORMULAÇÃO!$E$5/100)</f>
        <v>7.2905040080407699E-2</v>
      </c>
      <c r="K16" s="197">
        <f>IF(J16&gt;0,((J16/$D$16)*100),"")</f>
        <v>25.722918639464709</v>
      </c>
      <c r="L16" s="198"/>
      <c r="M16" s="203">
        <f>SUMIF(INGREDIENTES,M3,K)*(FORMULAÇÃO!$E$6/100)</f>
        <v>1.7000000000000001E-2</v>
      </c>
      <c r="N16" s="197">
        <f>IF(M16&gt;0,((M16/$D$16)*100),"")</f>
        <v>5.9980711400557354</v>
      </c>
      <c r="O16" s="198"/>
      <c r="P16" s="203">
        <f>SUMIF(INGREDIENTES,P3,K)*(FORMULAÇÃO!$E$7/100)</f>
        <v>0</v>
      </c>
      <c r="Q16" s="197" t="str">
        <f>IF(P16&gt;0,((P16/$D$16)*100),"")</f>
        <v/>
      </c>
      <c r="R16" s="198"/>
      <c r="S16" s="203">
        <f>SUMIF(INGREDIENTES,S3,K)*(FORMULAÇÃO!$E$8/100)</f>
        <v>2.1262547769591789E-2</v>
      </c>
      <c r="T16" s="197">
        <f>IF(S16&gt;0,((S16/$D$16)*100),"")</f>
        <v>7.5020161259320552</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0</v>
      </c>
      <c r="AI16" s="197" t="str">
        <f>IF(AH16&gt;0,((AH16/$D$16)*100),"")</f>
        <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0</v>
      </c>
      <c r="AX16" s="197" t="str">
        <f>IF(AW16&gt;0,((AW16/$D$16)*100),"")</f>
        <v/>
      </c>
      <c r="AY16" s="198"/>
      <c r="AZ16" s="204">
        <f>SUMIF(INGREDIENTES,AZ3,K)*(FORMULAÇÃO!$E$19/100)</f>
        <v>1.7999999999999999E-2</v>
      </c>
      <c r="BA16" s="205">
        <f>IF(AZ16&gt;0,((AZ16/$D$16)*100),"")</f>
        <v>6.3508988541766609</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0.16500000000000054</v>
      </c>
      <c r="E17" s="195"/>
      <c r="F17" s="195"/>
      <c r="G17" s="203">
        <f>SUMIF(INGREDIENTES,G3,NA)*(FORMULAÇÃO!$E$4/100)</f>
        <v>4.8205268696060056E-3</v>
      </c>
      <c r="H17" s="197">
        <f>IF(G17&gt;0,((G17/$D$17)*100),"")</f>
        <v>2.9215314361248423</v>
      </c>
      <c r="I17" s="198"/>
      <c r="J17" s="203">
        <f>SUMIF(INGREDIENTES,J3,NA)*(FORMULAÇÃO!$E$5/100)</f>
        <v>7.9677639432139554E-4</v>
      </c>
      <c r="K17" s="197">
        <f>IF(J17&gt;0,((J17/$D$17)*100),"")</f>
        <v>0.48289478443720785</v>
      </c>
      <c r="L17" s="198"/>
      <c r="M17" s="203">
        <f>SUMIF(INGREDIENTES,M3,NA)*(FORMULAÇÃO!$E$6/100)</f>
        <v>1.9000000000000003E-2</v>
      </c>
      <c r="N17" s="197">
        <f>IF(M17&gt;0,((M17/$D$17)*100),"")</f>
        <v>11.51515151515148</v>
      </c>
      <c r="O17" s="198"/>
      <c r="P17" s="203">
        <f>SUMIF(INGREDIENTES,P3,NA)*(FORMULAÇÃO!$E$7/100)</f>
        <v>0</v>
      </c>
      <c r="Q17" s="197" t="str">
        <f>IF(P17&gt;0,((P17/$D$17)*100),"")</f>
        <v/>
      </c>
      <c r="R17" s="198"/>
      <c r="S17" s="203">
        <f>SUMIF(INGREDIENTES,S3,NA)*(FORMULAÇÃO!$E$8/100)</f>
        <v>2.6477889675340718E-2</v>
      </c>
      <c r="T17" s="197">
        <f>IF(S17&gt;0,((S17/$D$17)*100),"")</f>
        <v>16.047205863842809</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0</v>
      </c>
      <c r="AF17" s="197" t="str">
        <f>IF(AE17&gt;0,((AE17/$D$17)*100),"")</f>
        <v/>
      </c>
      <c r="AG17" s="198"/>
      <c r="AH17" s="203">
        <f>SUMIF(INGREDIENTES,AH3,NA)*(FORMULAÇÃO!$E$13/100)</f>
        <v>0</v>
      </c>
      <c r="AI17" s="197" t="str">
        <f>IF(AH17&gt;0,((AH17/$D$17)*100),"")</f>
        <v/>
      </c>
      <c r="AJ17" s="198"/>
      <c r="AK17" s="203">
        <f>SUMIF(INGREDIENTES,AK3,NA)*(FORMULAÇÃO!$E$14/100)</f>
        <v>0</v>
      </c>
      <c r="AL17" s="197" t="str">
        <f>IF(AK17&gt;0,((AK17/$D$17)*100),"")</f>
        <v/>
      </c>
      <c r="AM17" s="198"/>
      <c r="AN17" s="203">
        <f>SUMIF(INGREDIENTES,AN3,NA)*(FORMULAÇÃO!$E$15/100)</f>
        <v>0</v>
      </c>
      <c r="AO17" s="197" t="str">
        <f>IF(AN17&gt;0,((AN17/$D$17)*100),"")</f>
        <v/>
      </c>
      <c r="AP17" s="198"/>
      <c r="AQ17" s="203">
        <f>SUMIF(INGREDIENTES,AQ3,NA)*(FORMULAÇÃO!$E$16/100)</f>
        <v>0.10890480706073243</v>
      </c>
      <c r="AR17" s="197">
        <f>IF(AQ17&gt;0,((AQ17/$D$17)*100),"")</f>
        <v>66.002913370140647</v>
      </c>
      <c r="AS17" s="198"/>
      <c r="AT17" s="203">
        <f>SUMIF(INGREDIENTES,AT3,NA)*(FORMULAÇÃO!$E$17/100)</f>
        <v>4.0000000000000001E-3</v>
      </c>
      <c r="AU17" s="197">
        <f>IF(AT17&gt;0,((AT17/$D$17)*100),"")</f>
        <v>2.4242424242424163</v>
      </c>
      <c r="AV17" s="198"/>
      <c r="AW17" s="203">
        <f>SUMIF(INGREDIENTES,AW3,NA)*(FORMULAÇÃO!$E$18/100)</f>
        <v>0</v>
      </c>
      <c r="AX17" s="197" t="str">
        <f>IF(AW17&gt;0,((AW17/$D$17)*100),"")</f>
        <v/>
      </c>
      <c r="AY17" s="198"/>
      <c r="AZ17" s="204">
        <f>SUMIF(INGREDIENTES,AZ3,NA)*(FORMULAÇÃO!$E$19/100)</f>
        <v>1E-3</v>
      </c>
      <c r="BA17" s="205">
        <f>IF(AZ17&gt;0,((AZ17/$D$17)*100),"")</f>
        <v>0.60606060606060408</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0.27520588234571652</v>
      </c>
      <c r="E18" s="202"/>
      <c r="F18" s="202"/>
      <c r="G18" s="203">
        <f>SUMIF(INGREDIENTES,G3,CL)*(FORMULAÇÃO!$E$4/100)</f>
        <v>4.3384741826454049E-2</v>
      </c>
      <c r="H18" s="197">
        <f>IF(G18&gt;0,((G18/$D$18)*100),"")</f>
        <v>15.764467480369362</v>
      </c>
      <c r="I18" s="198"/>
      <c r="J18" s="203">
        <f>SUMIF(INGREDIENTES,J3,CL)*(FORMULAÇÃO!$E$5/100)</f>
        <v>1.991940985803489E-3</v>
      </c>
      <c r="K18" s="197">
        <f>IF(J18&gt;0,((J18/$D$18)*100),"")</f>
        <v>0.72380029410170521</v>
      </c>
      <c r="L18" s="198"/>
      <c r="M18" s="203">
        <f>SUMIF(INGREDIENTES,M3,CL)*(FORMULAÇÃO!$E$6/100)</f>
        <v>0.03</v>
      </c>
      <c r="N18" s="197">
        <f>IF(M18&gt;0,((M18/$D$18)*100),"")</f>
        <v>10.900929785473728</v>
      </c>
      <c r="O18" s="198"/>
      <c r="P18" s="203">
        <f>SUMIF(INGREDIENTES,P3,CL)*(FORMULAÇÃO!$E$7/100)</f>
        <v>0</v>
      </c>
      <c r="Q18" s="197" t="str">
        <f>IF(P18&gt;0,((P18/$D$18)*100),"")</f>
        <v/>
      </c>
      <c r="R18" s="198"/>
      <c r="S18" s="203">
        <f>SUMIF(INGREDIENTES,S3,CL)*(FORMULAÇÃO!$E$8/100)</f>
        <v>2.447198894236036E-2</v>
      </c>
      <c r="T18" s="197">
        <f>IF(S18&gt;0,((S18/$D$18)*100),"")</f>
        <v>8.8922477723853266</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v>
      </c>
      <c r="AO18" s="197" t="str">
        <f>IF(AN18&gt;0,((AN18/$D$18)*100),"")</f>
        <v/>
      </c>
      <c r="AP18" s="198"/>
      <c r="AQ18" s="203">
        <f>SUMIF(INGREDIENTES,AQ3,CL)*(FORMULAÇÃO!$E$16/100)</f>
        <v>0.16335721059109864</v>
      </c>
      <c r="AR18" s="197">
        <f>IF(AQ18&gt;0,((AQ18/$D$18)*100),"")</f>
        <v>59.358182753480392</v>
      </c>
      <c r="AS18" s="198"/>
      <c r="AT18" s="203">
        <f>SUMIF(INGREDIENTES,AT3,CL)*(FORMULAÇÃO!$E$17/100)</f>
        <v>1.2E-2</v>
      </c>
      <c r="AU18" s="197">
        <f>IF(AT18&gt;0,((AT18/$D$18)*100),"")</f>
        <v>4.3603719141894919</v>
      </c>
      <c r="AV18" s="198"/>
      <c r="AW18" s="203">
        <f>SUMIF(INGREDIENTES,AW3,CL)*(FORMULAÇÃO!$E$18/100)</f>
        <v>0</v>
      </c>
      <c r="AX18" s="197" t="str">
        <f>IF(AW18&gt;0,((AW18/$D$18)*100),"")</f>
        <v/>
      </c>
      <c r="AY18" s="198"/>
      <c r="AZ18" s="204">
        <f>SUMIF(INGREDIENTES,AZ3,CL)*(FORMULAÇÃO!$E$19/100)</f>
        <v>0</v>
      </c>
      <c r="BA18" s="205" t="str">
        <f>IF(AZ18&gt;0,((AZ18/$D$18)*100),"")</f>
        <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66.703417692661787</v>
      </c>
      <c r="E19" s="195"/>
      <c r="F19" s="195"/>
      <c r="G19" s="203">
        <f>SUMIF(INGREDIENTES,G3,MOGIN)*(FORMULAÇÃO!$E$4/100)</f>
        <v>29.326709520829876</v>
      </c>
      <c r="H19" s="197">
        <f>IF(G19&gt;0,((G19/$D$19)*100),"")</f>
        <v>43.965827442236417</v>
      </c>
      <c r="I19" s="198"/>
      <c r="J19" s="203">
        <f>SUMIF(INGREDIENTES,J3,MOGIN)*(FORMULAÇÃO!$E$5/100)</f>
        <v>18.431104684318669</v>
      </c>
      <c r="K19" s="197">
        <f>IF(J19&gt;0,((J19/$D$19)*100),"")</f>
        <v>27.63142477832335</v>
      </c>
      <c r="L19" s="198"/>
      <c r="M19" s="203">
        <f>SUMIF(INGREDIENTES,M3,MOGIN)*(FORMULAÇÃO!$E$6/100)</f>
        <v>4.157991426821801</v>
      </c>
      <c r="N19" s="197">
        <f>IF(M19&gt;0,((M19/$D$19)*100),"")</f>
        <v>6.2335507994206303</v>
      </c>
      <c r="O19" s="198"/>
      <c r="P19" s="203">
        <f>SUMIF(INGREDIENTES,P3,MOGIN)*(FORMULAÇÃO!$E$7/100)</f>
        <v>0</v>
      </c>
      <c r="Q19" s="197" t="str">
        <f>IF(P19&gt;0,((P19/$D$19)*100),"")</f>
        <v/>
      </c>
      <c r="R19" s="198"/>
      <c r="S19" s="203">
        <f>SUMIF(INGREDIENTES,S3,MOGIN)*(FORMULAÇÃO!$E$8/100)</f>
        <v>10.056599690796661</v>
      </c>
      <c r="T19" s="197">
        <f>IF(S19&gt;0,((S19/$D$19)*100),"")</f>
        <v>15.076588334847814</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0</v>
      </c>
      <c r="AF19" s="197" t="str">
        <f>IF(AE19&gt;0,((AE19/$D$19)*100),"")</f>
        <v/>
      </c>
      <c r="AG19" s="198"/>
      <c r="AH19" s="203">
        <f>SUMIF(INGREDIENTES,AH3,MOGIN)*(FORMULAÇÃO!$E$13/100)</f>
        <v>0</v>
      </c>
      <c r="AI19" s="197" t="str">
        <f>IF(AH19&gt;0,((AH19/$D$19)*100),"")</f>
        <v/>
      </c>
      <c r="AJ19" s="198"/>
      <c r="AK19" s="203">
        <f>SUMIF(INGREDIENTES,AK3,MOGIN)*(FORMULAÇÃO!$E$14/100)</f>
        <v>0</v>
      </c>
      <c r="AL19" s="197" t="str">
        <f>IF(AK19&gt;0,((AK19/$D$19)*100),"")</f>
        <v/>
      </c>
      <c r="AM19" s="198"/>
      <c r="AN19" s="203">
        <f>SUMIF(INGREDIENTES,AN3,MOGIN)*(FORMULAÇÃO!$E$15/100)</f>
        <v>0</v>
      </c>
      <c r="AO19" s="197" t="str">
        <f>IF(AN19&gt;0,((AN19/$D$19)*100),"")</f>
        <v/>
      </c>
      <c r="AP19" s="198"/>
      <c r="AQ19" s="203">
        <f>SUMIF(INGREDIENTES,AQ3,MOGIN)*(FORMULAÇÃO!$E$16/100)</f>
        <v>1.3338004538975243</v>
      </c>
      <c r="AR19" s="197">
        <f>IF(AQ19&gt;0,((AQ19/$D$19)*100),"")</f>
        <v>1.9995983714703409</v>
      </c>
      <c r="AS19" s="198"/>
      <c r="AT19" s="203">
        <f>SUMIF(INGREDIENTES,AT3,MOGIN)*(FORMULAÇÃO!$E$17/100)</f>
        <v>-1.6411512553582364</v>
      </c>
      <c r="AU19" s="197" t="str">
        <f>IF(AT19&gt;0,((AT19/$D$19)*100),"")</f>
        <v/>
      </c>
      <c r="AV19" s="198"/>
      <c r="AW19" s="203">
        <f>SUMIF(INGREDIENTES,AW3,MOGIN)*(FORMULAÇÃO!$E$18/100)</f>
        <v>0</v>
      </c>
      <c r="AX19" s="197" t="str">
        <f>IF(AW19&gt;0,((AW19/$D$19)*100),"")</f>
        <v/>
      </c>
      <c r="AY19" s="198"/>
      <c r="AZ19" s="204">
        <f>SUMIF(INGREDIENTES,AZ3,MOGIN)*(FORMULAÇÃO!$E$19/100)</f>
        <v>5.038363171355499</v>
      </c>
      <c r="BA19" s="205">
        <f>IF(AZ19&gt;0,((AZ19/$D$19)*100),"")</f>
        <v>7.5533808395994413</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0.91500000000000026</v>
      </c>
      <c r="E20" s="202"/>
      <c r="F20" s="202"/>
      <c r="G20" s="203">
        <f>SUMIF(INGREDIENTES,G3,LIS_TOT)*(FORMULAÇÃO!$E$4/100)</f>
        <v>0.11087211800093813</v>
      </c>
      <c r="H20" s="197">
        <f>IF(G20&gt;0,((G20/$D$20)*100),"")</f>
        <v>12.117171366222742</v>
      </c>
      <c r="I20" s="198"/>
      <c r="J20" s="203">
        <f>SUMIF(INGREDIENTES,J3,LIS_TOT)*(FORMULAÇÃO!$E$5/100)</f>
        <v>0.11154869520499537</v>
      </c>
      <c r="K20" s="197">
        <f>IF(J20&gt;0,((J20/$D$20)*100),"")</f>
        <v>12.191114230054136</v>
      </c>
      <c r="L20" s="198"/>
      <c r="M20" s="203">
        <f>SUMIF(INGREDIENTES,M3,LIS_TOT)*(FORMULAÇÃO!$E$6/100)</f>
        <v>2.3000000000000003E-2</v>
      </c>
      <c r="N20" s="197">
        <f>IF(M20&gt;0,((M20/$D$20)*100),"")</f>
        <v>2.513661202185792</v>
      </c>
      <c r="O20" s="198"/>
      <c r="P20" s="203">
        <f>SUMIF(INGREDIENTES,P3,LIS_TOT)*(FORMULAÇÃO!$E$7/100)</f>
        <v>0</v>
      </c>
      <c r="Q20" s="197" t="str">
        <f>IF(P20&gt;0,((P20/$D$20)*100),"")</f>
        <v/>
      </c>
      <c r="R20" s="198"/>
      <c r="S20" s="203">
        <f>SUMIF(INGREDIENTES,S3,LIS_TOT)*(FORMULAÇÃO!$E$8/100)</f>
        <v>0.10952218002072751</v>
      </c>
      <c r="T20" s="197">
        <f>IF(S20&gt;0,((S20/$D$20)*100),"")</f>
        <v>11.969637160735244</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0.49705700677333919</v>
      </c>
      <c r="AC20" s="197">
        <f>IF(AB20&gt;0,((AB20/$D$20)*100),"")</f>
        <v>54.323170139162734</v>
      </c>
      <c r="AD20" s="198"/>
      <c r="AE20" s="203">
        <f>SUMIF(INGREDIENTES,AE3,LIS_TOT)*(FORMULAÇÃO!$E$12/100)</f>
        <v>0</v>
      </c>
      <c r="AF20" s="197" t="str">
        <f>IF(AE20&gt;0,((AE20/$D$20)*100),"")</f>
        <v/>
      </c>
      <c r="AG20" s="198"/>
      <c r="AH20" s="203">
        <f>SUMIF(INGREDIENTES,AH3,LIS_TOT)*(FORMULAÇÃO!$E$13/100)</f>
        <v>0</v>
      </c>
      <c r="AI20" s="197" t="str">
        <f>IF(AH20&gt;0,((AH20/$D$20)*100),"")</f>
        <v/>
      </c>
      <c r="AJ20" s="198"/>
      <c r="AK20" s="203">
        <f>SUMIF(INGREDIENTES,AK3,LIS_TOT)*(FORMULAÇÃO!$E$14/100)</f>
        <v>0</v>
      </c>
      <c r="AL20" s="197" t="str">
        <f>IF(AK20&gt;0,((AK20/$D$20)*100),"")</f>
        <v/>
      </c>
      <c r="AM20" s="198"/>
      <c r="AN20" s="203">
        <f>SUMIF(INGREDIENTES,AN3,LIS_TOT)*(FORMULAÇÃO!$E$15/100)</f>
        <v>0</v>
      </c>
      <c r="AO20" s="197" t="str">
        <f>IF(AN20&gt;0,((AN20/$D$20)*100),"")</f>
        <v/>
      </c>
      <c r="AP20" s="198"/>
      <c r="AQ20" s="203">
        <f>SUMIF(INGREDIENTES,AQ3,LIS_TOT)*(FORMULAÇÃO!$E$16/100)</f>
        <v>0</v>
      </c>
      <c r="AR20" s="197" t="str">
        <f>IF(AQ20&gt;0,((AQ20/$D$20)*100),"")</f>
        <v/>
      </c>
      <c r="AS20" s="198"/>
      <c r="AT20" s="203">
        <f>SUMIF(INGREDIENTES,AT3,LIS_TOT)*(FORMULAÇÃO!$E$17/100)</f>
        <v>4.0000000000000008E-2</v>
      </c>
      <c r="AU20" s="197">
        <f>IF(AT20&gt;0,((AT20/$D$20)*100),"")</f>
        <v>4.3715846994535514</v>
      </c>
      <c r="AV20" s="198"/>
      <c r="AW20" s="204">
        <f>SUMIF(INGREDIENTES,AW3,LIS_TOT)*(FORMULAÇÃO!$E$18/100)</f>
        <v>0</v>
      </c>
      <c r="AX20" s="197" t="str">
        <f>IF(AW20&gt;0,((AW20/$D$20)*100),"")</f>
        <v/>
      </c>
      <c r="AY20" s="198"/>
      <c r="AZ20" s="204">
        <f>SUMIF(INGREDIENTES,AZ3,LIS_TOT)*(FORMULAÇÃO!$E$19/100)</f>
        <v>2.3000000000000003E-2</v>
      </c>
      <c r="BA20" s="205">
        <f>IF(AZ20&gt;0,((AZ20/$D$20)*100),"")</f>
        <v>2.513661202185792</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0.84167758806868676</v>
      </c>
      <c r="E21" s="195"/>
      <c r="F21" s="195"/>
      <c r="G21" s="203">
        <f>SUMIF(INGREDIENTES,G3,LIS_DIG)*(FORMULAÇÃO!$E$4/100)</f>
        <v>8.6769483652908097E-2</v>
      </c>
      <c r="H21" s="197">
        <f>IF(G21&gt;0,((G21/$D$21)*100),"")</f>
        <v>10.309111812280678</v>
      </c>
      <c r="I21" s="198"/>
      <c r="J21" s="203">
        <f>SUMIF(INGREDIENTES,J3,LIS_DIG)*(FORMULAÇÃO!$E$5/100)</f>
        <v>0.10039382568449584</v>
      </c>
      <c r="K21" s="197">
        <f>IF(J21&gt;0,((J21/$D$21)*100),"")</f>
        <v>11.927824514712277</v>
      </c>
      <c r="L21" s="198"/>
      <c r="M21" s="203">
        <f>SUMIF(INGREDIENTES,M3,LIS_DIG)*(FORMULAÇÃO!$E$6/100)</f>
        <v>1.9000000000000003E-2</v>
      </c>
      <c r="N21" s="197">
        <f>IF(M21&gt;0,((M21/$D$21)*100),"")</f>
        <v>2.257396450771298</v>
      </c>
      <c r="O21" s="198"/>
      <c r="P21" s="203">
        <f>SUMIF(INGREDIENTES,P3,LIS_DIG)*(FORMULAÇÃO!$E$7/100)</f>
        <v>0</v>
      </c>
      <c r="Q21" s="197" t="str">
        <f>IF(P21&gt;0,((P21/$D$21)*100),"")</f>
        <v/>
      </c>
      <c r="R21" s="198"/>
      <c r="S21" s="203">
        <f>SUMIF(INGREDIENTES,S3,LIS_DIG)*(FORMULAÇÃO!$E$8/100)</f>
        <v>8.7457271957943589E-2</v>
      </c>
      <c r="T21" s="197">
        <f>IF(S21&gt;0,((S21/$D$21)*100),"")</f>
        <v>10.390828174315896</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0.49705700677333919</v>
      </c>
      <c r="AC21" s="197">
        <f>IF(AB21&gt;0,((AB21/$D$21)*100),"")</f>
        <v>59.05551173269162</v>
      </c>
      <c r="AD21" s="198"/>
      <c r="AE21" s="203">
        <f>SUMIF(INGREDIENTES,AE3,LIS_DIG)*(FORMULAÇÃO!$E$12/100)</f>
        <v>0</v>
      </c>
      <c r="AF21" s="197" t="str">
        <f>IF(AE21&gt;0,((AE21/$D$21)*100),"")</f>
        <v/>
      </c>
      <c r="AG21" s="198"/>
      <c r="AH21" s="203">
        <f>SUMIF(INGREDIENTES,AH3,LIS_DIG)*(FORMULAÇÃO!$E$13/100)</f>
        <v>0</v>
      </c>
      <c r="AI21" s="197" t="str">
        <f>IF(AH21&gt;0,((AH21/$D$21)*100),"")</f>
        <v/>
      </c>
      <c r="AJ21" s="198"/>
      <c r="AK21" s="203">
        <f>SUMIF(INGREDIENTES,AK3,LIS_DIG)*(FORMULAÇÃO!$E$14/100)</f>
        <v>0</v>
      </c>
      <c r="AL21" s="197" t="str">
        <f>IF(AK21&gt;0,((AK21/$D$21)*100),"")</f>
        <v/>
      </c>
      <c r="AM21" s="198"/>
      <c r="AN21" s="203">
        <f>SUMIF(INGREDIENTES,AN3,LIS_DIG)*(FORMULAÇÃO!$E$15/100)</f>
        <v>0</v>
      </c>
      <c r="AO21" s="197" t="str">
        <f>IF(AN21&gt;0,((AN21/$D$21)*100),"")</f>
        <v/>
      </c>
      <c r="AP21" s="198"/>
      <c r="AQ21" s="203">
        <f>SUMIF(INGREDIENTES,AQ3,LIS_DIG)*(FORMULAÇÃO!$E$16/100)</f>
        <v>0</v>
      </c>
      <c r="AR21" s="197" t="str">
        <f>IF(AQ21&gt;0,((AQ21/$D$21)*100),"")</f>
        <v/>
      </c>
      <c r="AS21" s="198"/>
      <c r="AT21" s="203">
        <f>SUMIF(INGREDIENTES,AT3,LIS_DIG)*(FORMULAÇÃO!$E$17/100)</f>
        <v>3.2000000000000001E-2</v>
      </c>
      <c r="AU21" s="197">
        <f>IF(AT21&gt;0,((AT21/$D$21)*100),"")</f>
        <v>3.8019308644569225</v>
      </c>
      <c r="AV21" s="198"/>
      <c r="AW21" s="204">
        <f>SUMIF(INGREDIENTES,AW3,LIS_DIG)*(FORMULAÇÃO!$E$18/100)</f>
        <v>0</v>
      </c>
      <c r="AX21" s="197" t="str">
        <f>IF(AW21&gt;0,((AW21/$D$21)*100),"")</f>
        <v/>
      </c>
      <c r="AY21" s="198"/>
      <c r="AZ21" s="204">
        <f>SUMIF(INGREDIENTES,AZ3,LIS_DIG)*(FORMULAÇÃO!$E$19/100)</f>
        <v>1.9000000000000003E-2</v>
      </c>
      <c r="BA21" s="205">
        <f>IF(AZ21&gt;0,((AZ21/$D$21)*100),"")</f>
        <v>2.257396450771298</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0.27399999999999858</v>
      </c>
      <c r="E22" s="202"/>
      <c r="F22" s="202"/>
      <c r="G22" s="203">
        <f>SUMIF(INGREDIENTES,G3,MET_TOT)*(FORMULAÇÃO!$E$4/100)</f>
        <v>7.7128429913696089E-2</v>
      </c>
      <c r="H22" s="197">
        <f>IF(G22&gt;0,((G22/$D$22)*100),"")</f>
        <v>28.149062012297989</v>
      </c>
      <c r="I22" s="198"/>
      <c r="J22" s="203">
        <f>SUMIF(INGREDIENTES,J3,MET_TOT)*(FORMULAÇÃO!$E$5/100)</f>
        <v>2.4301680026802563E-2</v>
      </c>
      <c r="K22" s="197">
        <f>IF(J22&gt;0,((J22/$D$22)*100),"")</f>
        <v>8.869226287154266</v>
      </c>
      <c r="L22" s="198"/>
      <c r="M22" s="203">
        <f>SUMIF(INGREDIENTES,M3,MET_TOT)*(FORMULAÇÃO!$E$6/100)</f>
        <v>1.3000000000000001E-2</v>
      </c>
      <c r="N22" s="197">
        <f>IF(M22&gt;0,((M22/$D$22)*100),"")</f>
        <v>4.7445255474452805</v>
      </c>
      <c r="O22" s="198"/>
      <c r="P22" s="203">
        <f>SUMIF(INGREDIENTES,P3,MET_TOT)*(FORMULAÇÃO!$E$7/100)</f>
        <v>0</v>
      </c>
      <c r="Q22" s="197" t="str">
        <f>IF(P22&gt;0,((P22/$D$22)*100),"")</f>
        <v/>
      </c>
      <c r="R22" s="198"/>
      <c r="S22" s="203">
        <f>SUMIF(INGREDIENTES,S3,MET_TOT)*(FORMULAÇÃO!$E$8/100)</f>
        <v>2.8082610261725E-2</v>
      </c>
      <c r="T22" s="197">
        <f>IF(S22&gt;0,((S22/$D$22)*100),"")</f>
        <v>10.249127832746403</v>
      </c>
      <c r="U22" s="198"/>
      <c r="V22" s="203">
        <f>SUMIF(INGREDIENTES,V3,MET_TOT)*(FORMULAÇÃO!$E$9/100)</f>
        <v>0</v>
      </c>
      <c r="W22" s="197" t="str">
        <f>IF(V22&gt;0,((V22/$D$22)*100),"")</f>
        <v/>
      </c>
      <c r="X22" s="198"/>
      <c r="Y22" s="203">
        <f>SUMIF(INGREDIENTES,Y3,MET_TOT)*(FORMULAÇÃO!$E$10/100)</f>
        <v>0</v>
      </c>
      <c r="Z22" s="197" t="str">
        <f>IF(Y22&gt;0,((Y22/$D$22)*100),"")</f>
        <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0</v>
      </c>
      <c r="AI22" s="197" t="str">
        <f>IF(AH22&gt;0,((AH22/$D$22)*100),"")</f>
        <v/>
      </c>
      <c r="AJ22" s="198"/>
      <c r="AK22" s="203">
        <f>SUMIF(INGREDIENTES,AK3,MET_TOT)*(FORMULAÇÃO!$E$14/100)</f>
        <v>8.3487279797774941E-2</v>
      </c>
      <c r="AL22" s="197">
        <f>IF(AK22&gt;0,((AK22/$D$22)*100),"")</f>
        <v>30.469810145173494</v>
      </c>
      <c r="AM22" s="198"/>
      <c r="AN22" s="203">
        <f>SUMIF(INGREDIENTES,AN3,MET_TOT)*(FORMULAÇÃO!$E$15/100)</f>
        <v>0</v>
      </c>
      <c r="AO22" s="197" t="str">
        <f>IF(AN22&gt;0,((AN22/$D$22)*100),"")</f>
        <v/>
      </c>
      <c r="AP22" s="198"/>
      <c r="AQ22" s="203">
        <f>SUMIF(INGREDIENTES,AQ3,MET_TOT)*(FORMULAÇÃO!$E$16/100)</f>
        <v>0</v>
      </c>
      <c r="AR22" s="197" t="str">
        <f>IF(AQ22&gt;0,((AQ22/$D$22)*100),"")</f>
        <v/>
      </c>
      <c r="AS22" s="198"/>
      <c r="AT22" s="203">
        <f>SUMIF(INGREDIENTES,AT3,MET_TOT)*(FORMULAÇÃO!$E$17/100)</f>
        <v>0.03</v>
      </c>
      <c r="AU22" s="197">
        <f>IF(AT22&gt;0,((AT22/$D$22)*100),"")</f>
        <v>10.948905109489107</v>
      </c>
      <c r="AV22" s="198"/>
      <c r="AW22" s="204">
        <f>SUMIF(INGREDIENTES,AW3,MET_TOT)*(FORMULAÇÃO!$E$18/100)</f>
        <v>0</v>
      </c>
      <c r="AX22" s="197" t="str">
        <f>IF(AW22&gt;0,((AW22/$D$22)*100),"")</f>
        <v/>
      </c>
      <c r="AY22" s="198"/>
      <c r="AZ22" s="204">
        <f>SUMIF(INGREDIENTES,AZ3,MET_TOT)*(FORMULAÇÃO!$E$19/100)</f>
        <v>1.7999999999999999E-2</v>
      </c>
      <c r="BA22" s="205">
        <f>IF(AZ22&gt;0,((AZ22/$D$22)*100),"")</f>
        <v>6.5693430656934639</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0.25055284351583024</v>
      </c>
      <c r="E23" s="195"/>
      <c r="F23" s="195"/>
      <c r="G23" s="203">
        <f>SUMIF(INGREDIENTES,G3,MET_DIG)*(FORMULAÇÃO!$E$4/100)</f>
        <v>6.7487376174484082E-2</v>
      </c>
      <c r="H23" s="197">
        <f>IF(G23&gt;0,((G23/$D$23)*100),"")</f>
        <v>26.935386255243255</v>
      </c>
      <c r="I23" s="198"/>
      <c r="J23" s="203">
        <f>SUMIF(INGREDIENTES,J3,MET_DIG)*(FORMULAÇÃO!$E$5/100)</f>
        <v>2.2309739040999078E-2</v>
      </c>
      <c r="K23" s="197">
        <f>IF(J23&gt;0,((J23/$D$23)*100),"")</f>
        <v>8.9042050882130663</v>
      </c>
      <c r="L23" s="198"/>
      <c r="M23" s="203">
        <f>SUMIF(INGREDIENTES,M3,MET_DIG)*(FORMULAÇÃO!$E$6/100)</f>
        <v>1.1000000000000001E-2</v>
      </c>
      <c r="N23" s="197">
        <f>IF(M23&gt;0,((M23/$D$23)*100),"")</f>
        <v>4.3902914234158379</v>
      </c>
      <c r="O23" s="198"/>
      <c r="P23" s="203">
        <f>SUMIF(INGREDIENTES,P3,MET_DIG)*(FORMULAÇÃO!$E$7/100)</f>
        <v>0</v>
      </c>
      <c r="Q23" s="197" t="str">
        <f>IF(P23&gt;0,((P23/$D$23)*100),"")</f>
        <v/>
      </c>
      <c r="R23" s="198"/>
      <c r="S23" s="203">
        <f>SUMIF(INGREDIENTES,S3,MET_DIG)*(FORMULAÇÃO!$E$8/100)</f>
        <v>2.3268448502572144E-2</v>
      </c>
      <c r="T23" s="197">
        <f>IF(S23&gt;0,((S23/$D$23)*100),"")</f>
        <v>9.2868427179123252</v>
      </c>
      <c r="U23" s="198"/>
      <c r="V23" s="203">
        <f>SUMIF(INGREDIENTES,V3,MET_DIG)*(FORMULAÇÃO!$E$9/100)</f>
        <v>0</v>
      </c>
      <c r="W23" s="197" t="str">
        <f>IF(V23&gt;0,((V23/$D$23)*100),"")</f>
        <v/>
      </c>
      <c r="X23" s="198"/>
      <c r="Y23" s="203">
        <f>SUMIF(INGREDIENTES,Y3,MET_DIG)*(FORMULAÇÃO!$E$10/100)</f>
        <v>0</v>
      </c>
      <c r="Z23" s="197" t="str">
        <f>IF(Y23&gt;0,((Y23/$D$23)*100),"")</f>
        <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0</v>
      </c>
      <c r="AI23" s="197" t="str">
        <f>IF(AH23&gt;0,((AH23/$D$23)*100),"")</f>
        <v/>
      </c>
      <c r="AJ23" s="198"/>
      <c r="AK23" s="203">
        <f>SUMIF(INGREDIENTES,AK3,MET_DIG)*(FORMULAÇÃO!$E$14/100)</f>
        <v>8.3487279797774941E-2</v>
      </c>
      <c r="AL23" s="197">
        <f>IF(AK23&gt;0,((AK23/$D$23)*100),"")</f>
        <v>33.321226223680881</v>
      </c>
      <c r="AM23" s="198"/>
      <c r="AN23" s="203">
        <f>SUMIF(INGREDIENTES,AN3,MET_DIG)*(FORMULAÇÃO!$E$15/100)</f>
        <v>0</v>
      </c>
      <c r="AO23" s="197" t="str">
        <f>IF(AN23&gt;0,((AN23/$D$23)*100),"")</f>
        <v/>
      </c>
      <c r="AP23" s="198"/>
      <c r="AQ23" s="203">
        <f>SUMIF(INGREDIENTES,AQ3,MET_DIG)*(FORMULAÇÃO!$E$16/100)</f>
        <v>0</v>
      </c>
      <c r="AR23" s="197" t="str">
        <f>IF(AQ23&gt;0,((AQ23/$D$23)*100),"")</f>
        <v/>
      </c>
      <c r="AS23" s="198"/>
      <c r="AT23" s="203">
        <f>SUMIF(INGREDIENTES,AT3,MET_DIG)*(FORMULAÇÃO!$E$17/100)</f>
        <v>2.6000000000000002E-2</v>
      </c>
      <c r="AU23" s="197">
        <f>IF(AT23&gt;0,((AT23/$D$23)*100),"")</f>
        <v>10.377052455346526</v>
      </c>
      <c r="AV23" s="198"/>
      <c r="AW23" s="204">
        <f>SUMIF(INGREDIENTES,AW3,MET_DIG)*(FORMULAÇÃO!$E$18/100)</f>
        <v>0</v>
      </c>
      <c r="AX23" s="197" t="str">
        <f>IF(AW23&gt;0,((AW23/$D$23)*100),"")</f>
        <v/>
      </c>
      <c r="AY23" s="198"/>
      <c r="AZ23" s="204">
        <f>SUMIF(INGREDIENTES,AZ3,MET_DIG)*(FORMULAÇÃO!$E$19/100)</f>
        <v>1.7000000000000001E-2</v>
      </c>
      <c r="BA23" s="205">
        <f>IF(AZ23&gt;0,((AZ23/$D$23)*100),"")</f>
        <v>6.7849958361881137</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0.39261387367169209</v>
      </c>
      <c r="E24" s="202"/>
      <c r="F24" s="202"/>
      <c r="G24" s="203">
        <f>SUMIF(INGREDIENTES,G3,MET_CIS_TOT)*(FORMULAÇÃO!$E$4/100)</f>
        <v>0.1590773866969982</v>
      </c>
      <c r="H24" s="197">
        <f>IF(G24&gt;0,((G24/$D$24)*100),"")</f>
        <v>40.517515392240163</v>
      </c>
      <c r="I24" s="198"/>
      <c r="J24" s="203">
        <f>SUMIF(INGREDIENTES,J3,MET_CIS_TOT)*(FORMULAÇÃO!$E$5/100)</f>
        <v>5.0993689236569315E-2</v>
      </c>
      <c r="K24" s="197">
        <f>IF(J24&gt;0,((J24/$D$24)*100),"")</f>
        <v>12.988254531018123</v>
      </c>
      <c r="L24" s="198"/>
      <c r="M24" s="203">
        <f>SUMIF(INGREDIENTES,M3,MET_CIS_TOT)*(FORMULAÇÃO!$E$6/100)</f>
        <v>2.8999999999999998E-2</v>
      </c>
      <c r="N24" s="197">
        <f>IF(M24&gt;0,((M24/$D$24)*100),"")</f>
        <v>7.3863920622046342</v>
      </c>
      <c r="O24" s="198"/>
      <c r="P24" s="203">
        <f>SUMIF(INGREDIENTES,P3,MET_CIS_TOT)*(FORMULAÇÃO!$E$7/100)</f>
        <v>0</v>
      </c>
      <c r="Q24" s="197" t="str">
        <f>IF(P24&gt;0,((P24/$D$24)*100),"")</f>
        <v/>
      </c>
      <c r="R24" s="198"/>
      <c r="S24" s="203">
        <f>SUMIF(INGREDIENTES,S3,MET_CIS_TOT)*(FORMULAÇÃO!$E$8/100)</f>
        <v>4.8542797738124643E-2</v>
      </c>
      <c r="T24" s="197">
        <f>IF(S24&gt;0,((S24/$D$24)*100),"")</f>
        <v>12.364004685865137</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0</v>
      </c>
      <c r="AO24" s="197" t="str">
        <f>IF(AN24&gt;0,((AN24/$D$24)*100),"")</f>
        <v/>
      </c>
      <c r="AP24" s="198"/>
      <c r="AQ24" s="203">
        <f>SUMIF(INGREDIENTES,AQ3,MET_CIS_TOT)*(FORMULAÇÃO!$E$16/100)</f>
        <v>0</v>
      </c>
      <c r="AR24" s="197" t="str">
        <f>IF(AQ24&gt;0,((AQ24/$D$24)*100),"")</f>
        <v/>
      </c>
      <c r="AS24" s="198"/>
      <c r="AT24" s="203">
        <f>SUMIF(INGREDIENTES,AT3,MET_CIS_TOT)*(FORMULAÇÃO!$E$17/100)</f>
        <v>0.06</v>
      </c>
      <c r="AU24" s="197">
        <f>IF(AT24&gt;0,((AT24/$D$24)*100),"")</f>
        <v>15.282190473526832</v>
      </c>
      <c r="AV24" s="198"/>
      <c r="AW24" s="204">
        <f>SUMIF(INGREDIENTES,AW3,MET_CIS_TOT)*(FORMULAÇÃO!$E$18/100)</f>
        <v>0</v>
      </c>
      <c r="AX24" s="197" t="str">
        <f>IF(AW24&gt;0,((AW24/$D$24)*100),"")</f>
        <v/>
      </c>
      <c r="AY24" s="198"/>
      <c r="AZ24" s="204">
        <f>SUMIF(INGREDIENTES,AZ3,MET_CIS_TOT)*(FORMULAÇÃO!$E$19/100)</f>
        <v>4.5000000000000005E-2</v>
      </c>
      <c r="BA24" s="205">
        <f>IF(AZ24&gt;0,((AZ24/$D$24)*100),"")</f>
        <v>11.461642855145126</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0.34252160416243793</v>
      </c>
      <c r="E25" s="195"/>
      <c r="F25" s="195"/>
      <c r="G25" s="203">
        <f>SUMIF(INGREDIENTES,G3,MET_CIS_DIG)*(FORMULAÇÃO!$E$4/100)</f>
        <v>0.13979527921857415</v>
      </c>
      <c r="H25" s="197">
        <f>IF(G25&gt;0,((G25/$D$25)*100),"")</f>
        <v>40.813565486011633</v>
      </c>
      <c r="I25" s="198"/>
      <c r="J25" s="203">
        <f>SUMIF(INGREDIENTES,J3,MET_CIS_DIG)*(FORMULAÇÃO!$E$5/100)</f>
        <v>4.6213030870640937E-2</v>
      </c>
      <c r="K25" s="197">
        <f>IF(J25&gt;0,((J25/$D$25)*100),"")</f>
        <v>13.492004682053516</v>
      </c>
      <c r="L25" s="198"/>
      <c r="M25" s="203">
        <f>SUMIF(INGREDIENTES,M3,MET_CIS_DIG)*(FORMULAÇÃO!$E$6/100)</f>
        <v>2.5000000000000001E-2</v>
      </c>
      <c r="N25" s="197">
        <f>IF(M25&gt;0,((M25/$D$25)*100),"")</f>
        <v>7.2988096797958368</v>
      </c>
      <c r="O25" s="198"/>
      <c r="P25" s="203">
        <f>SUMIF(INGREDIENTES,P3,MET_CIS_DIG)*(FORMULAÇÃO!$E$7/100)</f>
        <v>0</v>
      </c>
      <c r="Q25" s="197" t="str">
        <f>IF(P25&gt;0,((P25/$D$25)*100),"")</f>
        <v/>
      </c>
      <c r="R25" s="198"/>
      <c r="S25" s="203">
        <f>SUMIF(INGREDIENTES,S3,MET_CIS_DIG)*(FORMULAÇÃO!$E$8/100)</f>
        <v>3.8513294073222862E-2</v>
      </c>
      <c r="T25" s="197">
        <f>IF(S25&gt;0,((S25/$D$25)*100),"")</f>
        <v>11.244048143298507</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0</v>
      </c>
      <c r="AO25" s="197" t="str">
        <f>IF(AN25&gt;0,((AN25/$D$25)*100),"")</f>
        <v/>
      </c>
      <c r="AP25" s="198"/>
      <c r="AQ25" s="203">
        <f>SUMIF(INGREDIENTES,AQ3,MET_CIS_DIG)*(FORMULAÇÃO!$E$16/100)</f>
        <v>0</v>
      </c>
      <c r="AR25" s="197" t="str">
        <f>IF(AQ25&gt;0,((AQ25/$D$25)*100),"")</f>
        <v/>
      </c>
      <c r="AS25" s="198"/>
      <c r="AT25" s="203">
        <f>SUMIF(INGREDIENTES,AT3,MET_CIS_DIG)*(FORMULAÇÃO!$E$17/100)</f>
        <v>5.2000000000000005E-2</v>
      </c>
      <c r="AU25" s="197">
        <f>IF(AT25&gt;0,((AT25/$D$25)*100),"")</f>
        <v>15.181524133975341</v>
      </c>
      <c r="AV25" s="198"/>
      <c r="AW25" s="204">
        <f>SUMIF(INGREDIENTES,AW3,MET_CIS_DIG)*(FORMULAÇÃO!$E$18/100)</f>
        <v>0</v>
      </c>
      <c r="AX25" s="197" t="str">
        <f>IF(AW25&gt;0,((AW25/$D$25)*100),"")</f>
        <v/>
      </c>
      <c r="AY25" s="198"/>
      <c r="AZ25" s="204">
        <f>SUMIF(INGREDIENTES,AZ3,MET_CIS_DIG)*(FORMULAÇÃO!$E$19/100)</f>
        <v>4.1000000000000002E-2</v>
      </c>
      <c r="BA25" s="205">
        <f>IF(AZ25&gt;0,((AZ25/$D$25)*100),"")</f>
        <v>11.970047874865173</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0.62200000000000089</v>
      </c>
      <c r="E26" s="202"/>
      <c r="F26" s="202"/>
      <c r="G26" s="203">
        <f>SUMIF(INGREDIENTES,G3,TRE_TOT)*(FORMULAÇÃO!$E$4/100)</f>
        <v>0.14943633295778616</v>
      </c>
      <c r="H26" s="197">
        <f>IF(G26&gt;0,((G26/$D$26)*100),"")</f>
        <v>24.025133916042758</v>
      </c>
      <c r="I26" s="198"/>
      <c r="J26" s="203">
        <f>SUMIF(INGREDIENTES,J3,TRE_TOT)*(FORMULAÇÃO!$E$5/100)</f>
        <v>7.0913099094604207E-2</v>
      </c>
      <c r="K26" s="197">
        <f>IF(J26&gt;0,((J26/$D$26)*100),"")</f>
        <v>11.400819790129276</v>
      </c>
      <c r="L26" s="198"/>
      <c r="M26" s="203">
        <f>SUMIF(INGREDIENTES,M3,TRE_TOT)*(FORMULAÇÃO!$E$6/100)</f>
        <v>2.7000000000000003E-2</v>
      </c>
      <c r="N26" s="197">
        <f>IF(M26&gt;0,((M26/$D$26)*100),"")</f>
        <v>4.3408360128617307</v>
      </c>
      <c r="O26" s="198"/>
      <c r="P26" s="203">
        <f>SUMIF(INGREDIENTES,P3,TRE_TOT)*(FORMULAÇÃO!$E$7/100)</f>
        <v>0</v>
      </c>
      <c r="Q26" s="197" t="str">
        <f>IF(P26&gt;0,((P26/$D$26)*100),"")</f>
        <v/>
      </c>
      <c r="R26" s="198"/>
      <c r="S26" s="203">
        <f>SUMIF(INGREDIENTES,S3,TRE_TOT)*(FORMULAÇÃO!$E$8/100)</f>
        <v>6.860180506792822E-2</v>
      </c>
      <c r="T26" s="197">
        <f>IF(S26&gt;0,((S26/$D$26)*100),"")</f>
        <v>11.029229110599378</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0.21804876287968222</v>
      </c>
      <c r="AI26" s="197">
        <f>IF(AH26&gt;0,((AH26/$D$26)*100),"")</f>
        <v>35.056071202521203</v>
      </c>
      <c r="AJ26" s="198"/>
      <c r="AK26" s="203">
        <f>SUMIF(INGREDIENTES,AK3,TRE_TOT)*(FORMULAÇÃO!$E$14/100)</f>
        <v>0</v>
      </c>
      <c r="AL26" s="197" t="str">
        <f>IF(AK26&gt;0,((AK26/$D$26)*100),"")</f>
        <v/>
      </c>
      <c r="AM26" s="198"/>
      <c r="AN26" s="203">
        <f>SUMIF(INGREDIENTES,AN3,TRE_TOT)*(FORMULAÇÃO!$E$15/100)</f>
        <v>0</v>
      </c>
      <c r="AO26" s="197" t="str">
        <f>IF(AN26&gt;0,((AN26/$D$26)*100),"")</f>
        <v/>
      </c>
      <c r="AP26" s="198"/>
      <c r="AQ26" s="203">
        <f>SUMIF(INGREDIENTES,AQ3,TRE_TOT)*(FORMULAÇÃO!$E$16/100)</f>
        <v>0</v>
      </c>
      <c r="AR26" s="197" t="str">
        <f>IF(AQ26&gt;0,((AQ26/$D$26)*100),"")</f>
        <v/>
      </c>
      <c r="AS26" s="198"/>
      <c r="AT26" s="203">
        <f>SUMIF(INGREDIENTES,AT3,TRE_TOT)*(FORMULAÇÃO!$E$17/100)</f>
        <v>5.6000000000000008E-2</v>
      </c>
      <c r="AU26" s="197">
        <f>IF(AT26&gt;0,((AT26/$D$26)*100),"")</f>
        <v>9.0032154340835913</v>
      </c>
      <c r="AV26" s="198"/>
      <c r="AW26" s="204">
        <f>SUMIF(INGREDIENTES,AW3,TRE_TOT)*(FORMULAÇÃO!$E$18/100)</f>
        <v>0</v>
      </c>
      <c r="AX26" s="197" t="str">
        <f>IF(AW26&gt;0,((AW26/$D$26)*100),"")</f>
        <v/>
      </c>
      <c r="AY26" s="198"/>
      <c r="AZ26" s="204">
        <f>SUMIF(INGREDIENTES,AZ3,TRE_TOT)*(FORMULAÇÃO!$E$19/100)</f>
        <v>3.2000000000000001E-2</v>
      </c>
      <c r="BA26" s="205">
        <f>IF(AZ26&gt;0,((AZ26/$D$26)*100),"")</f>
        <v>5.1446945337620509</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0.54585132975684747</v>
      </c>
      <c r="E27" s="195"/>
      <c r="F27" s="195"/>
      <c r="G27" s="203">
        <f>SUMIF(INGREDIENTES,G3,TRE_DIG)*(FORMULAÇÃO!$E$4/100)</f>
        <v>0.11569264487054413</v>
      </c>
      <c r="H27" s="197">
        <f>IF(G27&gt;0,((G27/$D$27)*100),"")</f>
        <v>21.194900252799616</v>
      </c>
      <c r="I27" s="198"/>
      <c r="J27" s="203">
        <f>SUMIF(INGREDIENTES,J3,TRE_DIG)*(FORMULAÇÃO!$E$5/100)</f>
        <v>6.1351782362747458E-2</v>
      </c>
      <c r="K27" s="197">
        <f>IF(J27&gt;0,((J27/$D$27)*100),"")</f>
        <v>11.239650618800718</v>
      </c>
      <c r="L27" s="198"/>
      <c r="M27" s="203">
        <f>SUMIF(INGREDIENTES,M3,TRE_DIG)*(FORMULAÇÃO!$E$6/100)</f>
        <v>2.2000000000000002E-2</v>
      </c>
      <c r="N27" s="197">
        <f>IF(M27&gt;0,((M27/$D$27)*100),"")</f>
        <v>4.0304014666044736</v>
      </c>
      <c r="O27" s="198"/>
      <c r="P27" s="203">
        <f>SUMIF(INGREDIENTES,P3,TRE_DIG)*(FORMULAÇÃO!$E$7/100)</f>
        <v>0</v>
      </c>
      <c r="Q27" s="197" t="str">
        <f>IF(P27&gt;0,((P27/$D$27)*100),"")</f>
        <v/>
      </c>
      <c r="R27" s="198"/>
      <c r="S27" s="203">
        <f>SUMIF(INGREDIENTES,S3,TRE_DIG)*(FORMULAÇÃO!$E$8/100)</f>
        <v>5.3758139643873583E-2</v>
      </c>
      <c r="T27" s="197">
        <f>IF(S27&gt;0,((S27/$D$27)*100),"")</f>
        <v>9.8484947664816449</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0.21804876287968222</v>
      </c>
      <c r="AI27" s="197">
        <f>IF(AH27&gt;0,((AH27/$D$27)*100),"")</f>
        <v>39.946547895525555</v>
      </c>
      <c r="AJ27" s="198"/>
      <c r="AK27" s="203">
        <f>SUMIF(INGREDIENTES,AK3,TRE_DIG)*(FORMULAÇÃO!$E$14/100)</f>
        <v>0</v>
      </c>
      <c r="AL27" s="197" t="str">
        <f>IF(AK27&gt;0,((AK27/$D$27)*100),"")</f>
        <v/>
      </c>
      <c r="AM27" s="198"/>
      <c r="AN27" s="203">
        <f>SUMIF(INGREDIENTES,AN3,TRE_DIG)*(FORMULAÇÃO!$E$15/100)</f>
        <v>0</v>
      </c>
      <c r="AO27" s="197" t="str">
        <f>IF(AN27&gt;0,((AN27/$D$27)*100),"")</f>
        <v/>
      </c>
      <c r="AP27" s="198"/>
      <c r="AQ27" s="203">
        <f>SUMIF(INGREDIENTES,AQ3,TRE_DIG)*(FORMULAÇÃO!$E$16/100)</f>
        <v>0</v>
      </c>
      <c r="AR27" s="197" t="str">
        <f>IF(AQ27&gt;0,((AQ27/$D$27)*100),"")</f>
        <v/>
      </c>
      <c r="AS27" s="198"/>
      <c r="AT27" s="203">
        <f>SUMIF(INGREDIENTES,AT3,TRE_DIG)*(FORMULAÇÃO!$E$17/100)</f>
        <v>4.8000000000000001E-2</v>
      </c>
      <c r="AU27" s="197">
        <f>IF(AT27&gt;0,((AT27/$D$27)*100),"")</f>
        <v>8.7936031998643056</v>
      </c>
      <c r="AV27" s="198"/>
      <c r="AW27" s="204">
        <f>SUMIF(INGREDIENTES,AW3,TRE_DIG)*(FORMULAÇÃO!$E$18/100)</f>
        <v>0</v>
      </c>
      <c r="AX27" s="197" t="str">
        <f>IF(AW27&gt;0,((AW27/$D$27)*100),"")</f>
        <v/>
      </c>
      <c r="AY27" s="198"/>
      <c r="AZ27" s="204">
        <f>SUMIF(INGREDIENTES,AZ3,TRE_DIG)*(FORMULAÇÃO!$E$19/100)</f>
        <v>2.7000000000000003E-2</v>
      </c>
      <c r="BA27" s="205">
        <f>IF(AZ27&gt;0,((AZ27/$D$27)*100),"")</f>
        <v>4.946401799923672</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0.18300000000000033</v>
      </c>
      <c r="E28" s="202"/>
      <c r="F28" s="202"/>
      <c r="G28" s="203">
        <f>SUMIF(INGREDIENTES,G3,TRP_TOT)*(FORMULAÇÃO!$E$4/100)</f>
        <v>2.8923161217636034E-2</v>
      </c>
      <c r="H28" s="197">
        <f>IF(G28&gt;0,((G28/$D$28)*100),"")</f>
        <v>15.805006129855729</v>
      </c>
      <c r="I28" s="198"/>
      <c r="J28" s="203">
        <f>SUMIF(INGREDIENTES,J3,TRP_TOT)*(FORMULAÇÃO!$E$5/100)</f>
        <v>2.5496844618284657E-2</v>
      </c>
      <c r="K28" s="197">
        <f>IF(J28&gt;0,((J28/$D$28)*100),"")</f>
        <v>13.932701977204706</v>
      </c>
      <c r="L28" s="198"/>
      <c r="M28" s="203">
        <f>SUMIF(INGREDIENTES,M3,TRP_TOT)*(FORMULAÇÃO!$E$6/100)</f>
        <v>1.0000000000000002E-2</v>
      </c>
      <c r="N28" s="197">
        <f>IF(M28&gt;0,((M28/$D$28)*100),"")</f>
        <v>5.4644808743169317</v>
      </c>
      <c r="O28" s="198"/>
      <c r="P28" s="203">
        <f>SUMIF(INGREDIENTES,P3,TRP_TOT)*(FORMULAÇÃO!$E$7/100)</f>
        <v>0</v>
      </c>
      <c r="Q28" s="197" t="str">
        <f>IF(P28&gt;0,((P28/$D$28)*100),"")</f>
        <v/>
      </c>
      <c r="R28" s="198"/>
      <c r="S28" s="203">
        <f>SUMIF(INGREDIENTES,S3,TRP_TOT)*(FORMULAÇÃO!$E$8/100)</f>
        <v>1.1233044104690003E-2</v>
      </c>
      <c r="T28" s="197">
        <f>IF(S28&gt;0,((S28/$D$28)*100),"")</f>
        <v>6.1382754670437061</v>
      </c>
      <c r="U28" s="198"/>
      <c r="V28" s="203">
        <f>SUMIF(INGREDIENTES,V3,TRP_TOT)*(FORMULAÇÃO!$E$9/100)</f>
        <v>0</v>
      </c>
      <c r="W28" s="197" t="str">
        <f>IF(V28&gt;0,((V28/$D$28)*100),"")</f>
        <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7.4346950059389599E-2</v>
      </c>
      <c r="AF28" s="197">
        <f>IF(AE28&gt;0,((AE28/$D$28)*100),"")</f>
        <v>40.626748666333043</v>
      </c>
      <c r="AG28" s="198"/>
      <c r="AH28" s="203">
        <f>SUMIF(INGREDIENTES,AH3,TRP_TOT)*(FORMULAÇÃO!$E$13/100)</f>
        <v>0</v>
      </c>
      <c r="AI28" s="197" t="str">
        <f>IF(AH28&gt;0,((AH28/$D$28)*100),"")</f>
        <v/>
      </c>
      <c r="AJ28" s="198"/>
      <c r="AK28" s="203">
        <f>SUMIF(INGREDIENTES,AK3,TRP_TOT)*(FORMULAÇÃO!$E$14/100)</f>
        <v>0</v>
      </c>
      <c r="AL28" s="197" t="str">
        <f>IF(AK28&gt;0,((AK28/$D$28)*100),"")</f>
        <v/>
      </c>
      <c r="AM28" s="198"/>
      <c r="AN28" s="203">
        <f>SUMIF(INGREDIENTES,AN3,TRP_TOT)*(FORMULAÇÃO!$E$15/100)</f>
        <v>0</v>
      </c>
      <c r="AO28" s="197" t="str">
        <f>IF(AN28&gt;0,((AN28/$D$28)*100),"")</f>
        <v/>
      </c>
      <c r="AP28" s="198"/>
      <c r="AQ28" s="203">
        <f>SUMIF(INGREDIENTES,AQ3,TRP_TOT)*(FORMULAÇÃO!$E$16/100)</f>
        <v>0</v>
      </c>
      <c r="AR28" s="197" t="str">
        <f>IF(AQ28&gt;0,((AQ28/$D$28)*100),"")</f>
        <v/>
      </c>
      <c r="AS28" s="198"/>
      <c r="AT28" s="203">
        <f>SUMIF(INGREDIENTES,AT3,TRP_TOT)*(FORMULAÇÃO!$E$17/100)</f>
        <v>2.0000000000000004E-2</v>
      </c>
      <c r="AU28" s="197">
        <f>IF(AT28&gt;0,((AT28/$D$28)*100),"")</f>
        <v>10.928961748633863</v>
      </c>
      <c r="AV28" s="198"/>
      <c r="AW28" s="204">
        <f>SUMIF(INGREDIENTES,AW3,TRP_TOT)*(FORMULAÇÃO!$E$18/100)</f>
        <v>0</v>
      </c>
      <c r="AX28" s="197" t="str">
        <f>IF(AW28&gt;0,((AW28/$D$28)*100),"")</f>
        <v/>
      </c>
      <c r="AY28" s="198"/>
      <c r="AZ28" s="204">
        <f>SUMIF(INGREDIENTES,AZ3,TRP_TOT)*(FORMULAÇÃO!$E$19/100)</f>
        <v>1.3000000000000001E-2</v>
      </c>
      <c r="BA28" s="205">
        <f>IF(AZ28&gt;0,((AZ28/$D$28)*100),"")</f>
        <v>7.1038251366120102</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0.15438485501728905</v>
      </c>
      <c r="E29" s="195"/>
      <c r="F29" s="195"/>
      <c r="G29" s="203">
        <f>SUMIF(INGREDIENTES,G3,TRP_DIG)*(FORMULAÇÃO!$E$4/100)</f>
        <v>2.410263434803003E-2</v>
      </c>
      <c r="H29" s="197">
        <f>IF(G29&gt;0,((G29/$D$29)*100),"")</f>
        <v>15.612045848234827</v>
      </c>
      <c r="I29" s="198"/>
      <c r="J29" s="203">
        <f>SUMIF(INGREDIENTES,J3,TRP_DIG)*(FORMULAÇÃO!$E$5/100)</f>
        <v>2.2708127238159771E-2</v>
      </c>
      <c r="K29" s="197">
        <f>IF(J29&gt;0,((J29/$D$29)*100),"")</f>
        <v>14.708779067491278</v>
      </c>
      <c r="L29" s="198"/>
      <c r="M29" s="203">
        <f>SUMIF(INGREDIENTES,M3,TRP_DIG)*(FORMULAÇÃO!$E$6/100)</f>
        <v>8.0000000000000002E-3</v>
      </c>
      <c r="N29" s="197">
        <f>IF(M29&gt;0,((M29/$D$29)*100),"")</f>
        <v>5.1818554346565318</v>
      </c>
      <c r="O29" s="198"/>
      <c r="P29" s="203">
        <f>SUMIF(INGREDIENTES,P3,TRP_DIG)*(FORMULAÇÃO!$E$7/100)</f>
        <v>0</v>
      </c>
      <c r="Q29" s="197" t="str">
        <f>IF(P29&gt;0,((P29/$D$29)*100),"")</f>
        <v/>
      </c>
      <c r="R29" s="198"/>
      <c r="S29" s="203">
        <f>SUMIF(INGREDIENTES,S3,TRP_DIG)*(FORMULAÇÃO!$E$8/100)</f>
        <v>9.2271433717096441E-3</v>
      </c>
      <c r="T29" s="197">
        <f>IF(S29&gt;0,((S29/$D$29)*100),"")</f>
        <v>5.9767153783810771</v>
      </c>
      <c r="U29" s="198"/>
      <c r="V29" s="203">
        <f>SUMIF(INGREDIENTES,V3,TRP_DIG)*(FORMULAÇÃO!$E$9/100)</f>
        <v>0</v>
      </c>
      <c r="W29" s="197" t="str">
        <f>IF(V29&gt;0,((V29/$D$29)*100),"")</f>
        <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7.4346950059389599E-2</v>
      </c>
      <c r="AF29" s="197">
        <f>IF(AE29&gt;0,((AE29/$D$29)*100),"")</f>
        <v>48.15689340192322</v>
      </c>
      <c r="AG29" s="198"/>
      <c r="AH29" s="203">
        <f>SUMIF(INGREDIENTES,AH3,TRP_DIG)*(FORMULAÇÃO!$E$13/100)</f>
        <v>0</v>
      </c>
      <c r="AI29" s="197" t="str">
        <f>IF(AH29&gt;0,((AH29/$D$29)*100),"")</f>
        <v/>
      </c>
      <c r="AJ29" s="198"/>
      <c r="AK29" s="203">
        <f>SUMIF(INGREDIENTES,AK3,TRP_DIG)*(FORMULAÇÃO!$E$14/100)</f>
        <v>0</v>
      </c>
      <c r="AL29" s="197" t="str">
        <f>IF(AK29&gt;0,((AK29/$D$29)*100),"")</f>
        <v/>
      </c>
      <c r="AM29" s="198"/>
      <c r="AN29" s="203">
        <f>SUMIF(INGREDIENTES,AN3,TRP_DIG)*(FORMULAÇÃO!$E$15/100)</f>
        <v>0</v>
      </c>
      <c r="AO29" s="197" t="str">
        <f>IF(AN29&gt;0,((AN29/$D$29)*100),"")</f>
        <v/>
      </c>
      <c r="AP29" s="198"/>
      <c r="AQ29" s="203">
        <f>SUMIF(INGREDIENTES,AQ3,TRP_DIG)*(FORMULAÇÃO!$E$16/100)</f>
        <v>0</v>
      </c>
      <c r="AR29" s="197" t="str">
        <f>IF(AQ29&gt;0,((AQ29/$D$29)*100),"")</f>
        <v/>
      </c>
      <c r="AS29" s="198"/>
      <c r="AT29" s="203">
        <f>SUMIF(INGREDIENTES,AT3,TRP_DIG)*(FORMULAÇÃO!$E$17/100)</f>
        <v>1.6E-2</v>
      </c>
      <c r="AU29" s="197">
        <f>IF(AT29&gt;0,((AT29/$D$29)*100),"")</f>
        <v>10.363710869313064</v>
      </c>
      <c r="AV29" s="198"/>
      <c r="AW29" s="204">
        <f>SUMIF(INGREDIENTES,AW3,TRP_DIG)*(FORMULAÇÃO!$E$18/100)</f>
        <v>0</v>
      </c>
      <c r="AX29" s="197" t="str">
        <f>IF(AW29&gt;0,((AW29/$D$29)*100),"")</f>
        <v/>
      </c>
      <c r="AY29" s="198"/>
      <c r="AZ29" s="204">
        <f>SUMIF(INGREDIENTES,AZ3,TRP_DIG)*(FORMULAÇÃO!$E$19/100)</f>
        <v>0</v>
      </c>
      <c r="BA29" s="205" t="str">
        <f>IF(AZ29&gt;0,((AZ29/$D$29)*100),"")</f>
        <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0.32935949417542221</v>
      </c>
      <c r="E30" s="202"/>
      <c r="F30" s="202"/>
      <c r="G30" s="203">
        <f>SUMIF(INGREDIENTES,G3,ARG_TOT)*(FORMULAÇÃO!$E$4/100)</f>
        <v>0.17835949417542221</v>
      </c>
      <c r="H30" s="197">
        <f>IF(G30&gt;0,((G30/$D$30)*100),"")</f>
        <v>54.153439427018625</v>
      </c>
      <c r="I30" s="198"/>
      <c r="J30" s="203">
        <f>SUMIF(INGREDIENTES,J3,ARG_TOT)*(FORMULAÇÃO!$E$5/100)</f>
        <v>0</v>
      </c>
      <c r="K30" s="197" t="str">
        <f>IF(J30&gt;0,((J30/$D$30)*100),"")</f>
        <v/>
      </c>
      <c r="L30" s="198"/>
      <c r="M30" s="203">
        <f>SUMIF(INGREDIENTES,M3,ARG_TOT)*(FORMULAÇÃO!$E$6/100)</f>
        <v>3.5999999999999997E-2</v>
      </c>
      <c r="N30" s="197">
        <f>IF(M30&gt;0,((M30/$D$30)*100),"")</f>
        <v>10.930305831969068</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0</v>
      </c>
      <c r="AO30" s="197" t="str">
        <f>IF(AN30&gt;0,((AN30/$D$30)*100),"")</f>
        <v/>
      </c>
      <c r="AP30" s="198"/>
      <c r="AQ30" s="203">
        <f>SUMIF(INGREDIENTES,AQ3,ARG_TOT)*(FORMULAÇÃO!$E$16/100)</f>
        <v>0</v>
      </c>
      <c r="AR30" s="197" t="str">
        <f>IF(AQ30&gt;0,((AQ30/$D$30)*100),"")</f>
        <v/>
      </c>
      <c r="AS30" s="198"/>
      <c r="AT30" s="203">
        <f>SUMIF(INGREDIENTES,AT3,ARG_TOT)*(FORMULAÇÃO!$E$17/100)</f>
        <v>6.9999999999999993E-2</v>
      </c>
      <c r="AU30" s="197">
        <f>IF(AT30&gt;0,((AT30/$D$30)*100),"")</f>
        <v>21.253372451050964</v>
      </c>
      <c r="AV30" s="198"/>
      <c r="AW30" s="203">
        <f>SUMIF(INGREDIENTES,AW3,ARG_TOT)*(FORMULAÇÃO!$E$18/100)</f>
        <v>0</v>
      </c>
      <c r="AX30" s="197" t="str">
        <f>IF(AW30&gt;0,((AW30/$D$30)*100),"")</f>
        <v/>
      </c>
      <c r="AY30" s="198"/>
      <c r="AZ30" s="204">
        <f>SUMIF(INGREDIENTES,AZ3,ARG_TOT)*(FORMULAÇÃO!$E$19/100)</f>
        <v>4.5000000000000005E-2</v>
      </c>
      <c r="BA30" s="205">
        <f>IF(AZ30&gt;0,((AZ30/$D$30)*100),"")</f>
        <v>13.662882289961336</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0.29307738669699818</v>
      </c>
      <c r="E31" s="195"/>
      <c r="F31" s="195"/>
      <c r="G31" s="203">
        <f>SUMIF(INGREDIENTES,G3,ARG_DIG)*(FORMULAÇÃO!$E$4/100)</f>
        <v>0.1590773866969982</v>
      </c>
      <c r="H31" s="197">
        <f>IF(G31&gt;0,((G31/$D$31)*100),"")</f>
        <v>54.278287550537776</v>
      </c>
      <c r="I31" s="198"/>
      <c r="J31" s="203">
        <f>SUMIF(INGREDIENTES,J3,ARG_DIG)*(FORMULAÇÃO!$E$5/100)</f>
        <v>0</v>
      </c>
      <c r="K31" s="197" t="str">
        <f>IF(J31&gt;0,((J31/$D$31)*100),"")</f>
        <v/>
      </c>
      <c r="L31" s="198"/>
      <c r="M31" s="203">
        <f>SUMIF(INGREDIENTES,M3,ARG_DIG)*(FORMULAÇÃO!$E$6/100)</f>
        <v>0.03</v>
      </c>
      <c r="N31" s="197">
        <f>IF(M31&gt;0,((M31/$D$31)*100),"")</f>
        <v>10.236204279730352</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0</v>
      </c>
      <c r="AO31" s="197" t="str">
        <f>IF(AN31&gt;0,((AN31/$D$31)*100),"")</f>
        <v/>
      </c>
      <c r="AP31" s="198"/>
      <c r="AQ31" s="203">
        <f>SUMIF(INGREDIENTES,AQ3,ARG_DIG)*(FORMULAÇÃO!$E$16/100)</f>
        <v>0</v>
      </c>
      <c r="AR31" s="197" t="str">
        <f>IF(AQ31&gt;0,((AQ31/$D$31)*100),"")</f>
        <v/>
      </c>
      <c r="AS31" s="198"/>
      <c r="AT31" s="203">
        <f>SUMIF(INGREDIENTES,AT3,ARG_DIG)*(FORMULAÇÃO!$E$17/100)</f>
        <v>6.2E-2</v>
      </c>
      <c r="AU31" s="197">
        <f>IF(AT31&gt;0,((AT31/$D$31)*100),"")</f>
        <v>21.154822178109395</v>
      </c>
      <c r="AV31" s="198"/>
      <c r="AW31" s="203">
        <f>SUMIF(INGREDIENTES,AW3,ARG_DIG)*(FORMULAÇÃO!$E$18/100)</f>
        <v>0</v>
      </c>
      <c r="AX31" s="197" t="str">
        <f>IF(AW31&gt;0,((AW31/$D$31)*100),"")</f>
        <v/>
      </c>
      <c r="AY31" s="198"/>
      <c r="AZ31" s="204">
        <f>SUMIF(INGREDIENTES,AZ3,ARG_DIG)*(FORMULAÇÃO!$E$19/100)</f>
        <v>4.2000000000000003E-2</v>
      </c>
      <c r="BA31" s="205">
        <f>IF(AZ31&gt;0,((AZ31/$D$31)*100),"")</f>
        <v>14.330685991622493</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X3:BY3"/>
    <mergeCell ref="CA3:CB3"/>
    <mergeCell ref="BF3:BG3"/>
    <mergeCell ref="BI3:BJ3"/>
    <mergeCell ref="BL3:BM3"/>
    <mergeCell ref="BO3:BP3"/>
    <mergeCell ref="BR3:BS3"/>
    <mergeCell ref="AZ3:BA3"/>
    <mergeCell ref="AW3:AX3"/>
    <mergeCell ref="AK3:AL3"/>
    <mergeCell ref="AQ3:AR3"/>
    <mergeCell ref="BU3:BV3"/>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zoomScaleNormal="10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61"/>
      <c r="D1" s="261"/>
      <c r="E1" s="261"/>
      <c r="F1" s="261"/>
      <c r="G1" s="261"/>
      <c r="H1" s="261"/>
      <c r="I1" s="261"/>
      <c r="J1" s="140"/>
      <c r="K1" s="140"/>
    </row>
    <row r="2" spans="2:11" ht="15" customHeight="1" x14ac:dyDescent="0.3">
      <c r="B2" s="45"/>
      <c r="C2" s="262"/>
      <c r="D2" s="262"/>
      <c r="E2" s="262"/>
      <c r="F2" s="262"/>
      <c r="G2" s="262"/>
      <c r="H2" s="262"/>
      <c r="I2" s="262"/>
      <c r="J2" s="141"/>
      <c r="K2" s="140"/>
    </row>
    <row r="3" spans="2:11" ht="15" customHeight="1" x14ac:dyDescent="0.3">
      <c r="B3" s="45"/>
      <c r="C3" s="262"/>
      <c r="D3" s="262"/>
      <c r="E3" s="262"/>
      <c r="F3" s="262"/>
      <c r="G3" s="262"/>
      <c r="H3" s="262"/>
      <c r="I3" s="262"/>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65"/>
      <c r="H6" s="265"/>
      <c r="I6" s="265"/>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63" t="s">
        <v>30</v>
      </c>
      <c r="C12" s="263"/>
      <c r="D12" s="263"/>
      <c r="E12" s="263"/>
      <c r="F12" s="263"/>
      <c r="G12" s="263"/>
      <c r="H12" s="263"/>
      <c r="I12" s="263"/>
      <c r="J12" s="263"/>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66" t="s">
        <v>83</v>
      </c>
      <c r="E14" s="267"/>
      <c r="F14" s="267"/>
      <c r="G14" s="267"/>
      <c r="H14" s="267"/>
      <c r="I14" s="268"/>
      <c r="J14" s="142"/>
      <c r="K14" s="49"/>
    </row>
    <row r="15" spans="2:11" ht="15" customHeight="1" x14ac:dyDescent="0.3">
      <c r="B15" s="45"/>
      <c r="C15" s="151" t="s">
        <v>74</v>
      </c>
      <c r="D15" s="269">
        <f ca="1">TODAY()</f>
        <v>44909</v>
      </c>
      <c r="E15" s="270"/>
      <c r="F15" s="270"/>
      <c r="G15" s="270"/>
      <c r="H15" s="270"/>
      <c r="I15" s="271"/>
      <c r="J15" s="142"/>
      <c r="K15" s="49"/>
    </row>
    <row r="16" spans="2:11" s="52" customFormat="1" ht="15" customHeight="1" x14ac:dyDescent="0.3">
      <c r="B16" s="81"/>
      <c r="C16" s="151" t="s">
        <v>76</v>
      </c>
      <c r="D16" s="272">
        <f>FORMULAÇÃO!F29</f>
        <v>1.717564595665207</v>
      </c>
      <c r="E16" s="273"/>
      <c r="F16" s="273"/>
      <c r="G16" s="273"/>
      <c r="H16" s="273"/>
      <c r="I16" s="274"/>
      <c r="J16" s="50"/>
      <c r="K16" s="51"/>
    </row>
    <row r="17" spans="2:11" s="52" customFormat="1" ht="15" customHeight="1" thickBot="1" x14ac:dyDescent="0.35">
      <c r="B17" s="81"/>
      <c r="C17" s="152" t="s">
        <v>75</v>
      </c>
      <c r="D17" s="275" t="s">
        <v>31</v>
      </c>
      <c r="E17" s="276"/>
      <c r="F17" s="276"/>
      <c r="G17" s="276"/>
      <c r="H17" s="276"/>
      <c r="I17" s="277"/>
      <c r="J17" s="50"/>
      <c r="K17" s="51"/>
    </row>
    <row r="18" spans="2:11" s="52" customFormat="1" ht="15" customHeight="1" x14ac:dyDescent="0.3">
      <c r="B18" s="81"/>
      <c r="C18" s="143"/>
      <c r="D18" s="264"/>
      <c r="E18" s="264"/>
      <c r="F18" s="264"/>
      <c r="G18" s="264"/>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48" t="s">
        <v>10</v>
      </c>
      <c r="I21" s="248"/>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MILHO (8%) (inserir preço)</v>
      </c>
      <c r="D23" s="139">
        <f>FORMULAÇÃO!E4</f>
        <v>48.205268696060052</v>
      </c>
      <c r="E23" s="139">
        <f>FORMULAÇÃO!F4</f>
        <v>0.6796942886144467</v>
      </c>
      <c r="F23" s="45"/>
      <c r="G23" s="127" t="str">
        <f>INGREDIENTES!F5</f>
        <v>En Metabolizável</v>
      </c>
      <c r="H23" s="128">
        <f>FORMULAÇÃO!M4</f>
        <v>3350.0000000000009</v>
      </c>
      <c r="I23" s="129" t="str">
        <f>INGREDIENTES!$F$6</f>
        <v>kcal/kg</v>
      </c>
      <c r="J23" s="46"/>
    </row>
    <row r="24" spans="2:11" ht="15" customHeight="1" x14ac:dyDescent="0.3">
      <c r="B24" s="45"/>
      <c r="C24" s="87" t="str">
        <f>FORMULAÇÃO!B5</f>
        <v>FARELO DE SOJA (45%) (inserir preço)</v>
      </c>
      <c r="D24" s="139">
        <f>FORMULAÇÃO!E5</f>
        <v>3.9838819716069778</v>
      </c>
      <c r="E24" s="139">
        <f>FORMULAÇÃO!F5</f>
        <v>0.10158899027597793</v>
      </c>
      <c r="F24" s="45"/>
      <c r="G24" s="130" t="str">
        <f>INGREDIENTES!H5</f>
        <v>Proteína Bruta</v>
      </c>
      <c r="H24" s="161">
        <f>FORMULAÇÃO!M6</f>
        <v>11.500000000000002</v>
      </c>
      <c r="I24" s="136" t="str">
        <f>INGREDIENTES!H6</f>
        <v>%</v>
      </c>
      <c r="J24" s="46"/>
    </row>
    <row r="25" spans="2:11" ht="15" customHeight="1" x14ac:dyDescent="0.3">
      <c r="B25" s="45"/>
      <c r="C25" s="87" t="str">
        <f>FORMULAÇÃO!B6</f>
        <v>FARELO DE BOLACHA</v>
      </c>
      <c r="D25" s="139">
        <f>FORMULAÇÃO!E6</f>
        <v>10</v>
      </c>
      <c r="E25" s="139">
        <f>FORMULAÇÃO!F6</f>
        <v>8.0000000000000016E-2</v>
      </c>
      <c r="F25" s="45"/>
      <c r="G25" s="130" t="str">
        <f>INGREDIENTES!J5</f>
        <v>Ác. Linoleico</v>
      </c>
      <c r="H25" s="161">
        <f>FORMULAÇÃO!M8</f>
        <v>1.5365261708893148</v>
      </c>
      <c r="I25" s="136" t="str">
        <f>INGREDIENTES!J6</f>
        <v>%</v>
      </c>
      <c r="J25" s="46"/>
    </row>
    <row r="26" spans="2:11" ht="15" customHeight="1" x14ac:dyDescent="0.3">
      <c r="B26" s="45"/>
      <c r="C26" s="87" t="str">
        <f>FORMULAÇÃO!B7</f>
        <v>ÓLEO DE SOJA</v>
      </c>
      <c r="D26" s="139">
        <f>FORMULAÇÃO!E7</f>
        <v>1.0676945040322636</v>
      </c>
      <c r="E26" s="139">
        <f>FORMULAÇÃO!F7</f>
        <v>7.4738615282258447E-2</v>
      </c>
      <c r="F26" s="45"/>
      <c r="G26" s="130" t="str">
        <f>INGREDIENTES!M5</f>
        <v>Fósforo_Total</v>
      </c>
      <c r="H26" s="161">
        <f>FORMULAÇÃO!M11</f>
        <v>0.4083681057873047</v>
      </c>
      <c r="I26" s="136" t="str">
        <f>INGREDIENTES!M6</f>
        <v>%</v>
      </c>
      <c r="J26" s="46"/>
    </row>
    <row r="27" spans="2:11" ht="15" customHeight="1" x14ac:dyDescent="0.3">
      <c r="B27" s="45"/>
      <c r="C27" s="87" t="str">
        <f>FORMULAÇÃO!B8</f>
        <v>FARINHA DE CARNE E OSSOS (52%)</v>
      </c>
      <c r="D27" s="139">
        <f>FORMULAÇÃO!E8</f>
        <v>4.0118014659607146</v>
      </c>
      <c r="E27" s="139">
        <f>FORMULAÇÃO!F8</f>
        <v>0.1364012498426643</v>
      </c>
      <c r="F27" s="45"/>
      <c r="G27" s="130" t="str">
        <f>INGREDIENTES!N5</f>
        <v>Fósforo_Disponível</v>
      </c>
      <c r="H27" s="161">
        <f>FORMULAÇÃO!M12</f>
        <v>0.24200000000000005</v>
      </c>
      <c r="I27" s="136" t="str">
        <f>INGREDIENTES!N6</f>
        <v>%</v>
      </c>
      <c r="J27" s="46"/>
    </row>
    <row r="28" spans="2:11" ht="15" customHeight="1" x14ac:dyDescent="0.3">
      <c r="B28" s="45"/>
      <c r="C28" s="87" t="str">
        <f>FORMULAÇÃO!B9</f>
        <v>BHT - antioxidante</v>
      </c>
      <c r="D28" s="139">
        <f>FORMULAÇÃO!E9</f>
        <v>1.4999999999999999E-2</v>
      </c>
      <c r="E28" s="139">
        <f>FORMULAÇÃO!F9</f>
        <v>5.2499999999999995E-3</v>
      </c>
      <c r="F28" s="45"/>
      <c r="G28" s="130" t="str">
        <f>INGREDIENTES!O5</f>
        <v>Fósforo Fítico</v>
      </c>
      <c r="H28" s="161">
        <f>FORMULAÇÃO!M13</f>
        <v>0.14711145875069323</v>
      </c>
      <c r="I28" s="136" t="str">
        <f>INGREDIENTES!O6</f>
        <v>%</v>
      </c>
      <c r="J28" s="46"/>
    </row>
    <row r="29" spans="2:11" ht="15" customHeight="1" x14ac:dyDescent="0.3">
      <c r="B29" s="45"/>
      <c r="C29" s="87" t="str">
        <f>FORMULAÇÃO!B10</f>
        <v>CALCÁRIO CALCÍTICO (32% de Ca)</v>
      </c>
      <c r="D29" s="139">
        <f>FORMULAÇÃO!E10</f>
        <v>0.2252746490770911</v>
      </c>
      <c r="E29" s="139">
        <f>FORMULAÇÃO!F10</f>
        <v>5.6318662269272783E-3</v>
      </c>
      <c r="F29" s="45"/>
      <c r="G29" s="130" t="str">
        <f>INGREDIENTES!P5</f>
        <v>Potássio</v>
      </c>
      <c r="H29" s="161">
        <f>FORMULAÇÃO!M14</f>
        <v>0.28342444767739172</v>
      </c>
      <c r="I29" s="136" t="str">
        <f>INGREDIENTES!P6</f>
        <v>%</v>
      </c>
      <c r="J29" s="46"/>
    </row>
    <row r="30" spans="2:11" ht="15" customHeight="1" x14ac:dyDescent="0.3">
      <c r="B30" s="45"/>
      <c r="C30" s="87" t="str">
        <f>FORMULAÇÃO!B11</f>
        <v>L-Lisina HCL</v>
      </c>
      <c r="D30" s="139">
        <f>FORMULAÇÃO!E11</f>
        <v>0.63725257278633229</v>
      </c>
      <c r="E30" s="139">
        <f>FORMULAÇÃO!F11</f>
        <v>0.22303840047521631</v>
      </c>
      <c r="F30" s="45"/>
      <c r="G30" s="130" t="str">
        <f>INGREDIENTES!Q5</f>
        <v>Sódio</v>
      </c>
      <c r="H30" s="161">
        <f>FORMULAÇÃO!M15</f>
        <v>0.16500000000000054</v>
      </c>
      <c r="I30" s="136" t="str">
        <f>INGREDIENTES!Q6</f>
        <v>%</v>
      </c>
      <c r="J30" s="46"/>
    </row>
    <row r="31" spans="2:11" ht="15" customHeight="1" x14ac:dyDescent="0.3">
      <c r="B31" s="45"/>
      <c r="C31" s="87" t="str">
        <f>FORMULAÇÃO!B12</f>
        <v>L-Triptofano</v>
      </c>
      <c r="D31" s="139">
        <f>FORMULAÇÃO!E12</f>
        <v>7.586423475447919E-2</v>
      </c>
      <c r="E31" s="139">
        <f>FORMULAÇÃO!F12</f>
        <v>4.400125615759793E-2</v>
      </c>
      <c r="F31" s="45"/>
      <c r="G31" s="130" t="str">
        <f>INGREDIENTES!R5</f>
        <v>Cloro</v>
      </c>
      <c r="H31" s="161">
        <f>FORMULAÇÃO!M16</f>
        <v>0.27520588234571652</v>
      </c>
      <c r="I31" s="136" t="str">
        <f>INGREDIENTES!R6</f>
        <v>%</v>
      </c>
      <c r="J31" s="46"/>
    </row>
    <row r="32" spans="2:11" ht="15" customHeight="1" thickBot="1" x14ac:dyDescent="0.35">
      <c r="B32" s="45"/>
      <c r="C32" s="87" t="str">
        <f>FORMULAÇÃO!B13</f>
        <v>L-Treonina</v>
      </c>
      <c r="D32" s="139">
        <f>FORMULAÇÃO!E13</f>
        <v>0.22136930241592101</v>
      </c>
      <c r="E32" s="139">
        <f>FORMULAÇÃO!F13</f>
        <v>5.3128632579821047E-2</v>
      </c>
      <c r="F32" s="45"/>
      <c r="G32" s="131" t="str">
        <f>INGREDIENTES!S5</f>
        <v>MONGIN</v>
      </c>
      <c r="H32" s="132">
        <f>FORMULAÇÃO!M17</f>
        <v>66.703417692661787</v>
      </c>
      <c r="I32" s="129" t="str">
        <f>INGREDIENTES!S6</f>
        <v>mEq/kg</v>
      </c>
      <c r="J32" s="46"/>
    </row>
    <row r="33" spans="2:11" thickBot="1" x14ac:dyDescent="0.35">
      <c r="B33" s="45"/>
      <c r="C33" s="87" t="str">
        <f>FORMULAÇÃO!B14</f>
        <v>DL- Metionina</v>
      </c>
      <c r="D33" s="139">
        <f>FORMULAÇÃO!E14</f>
        <v>8.4330585654318127E-2</v>
      </c>
      <c r="E33" s="139">
        <f>FORMULAÇÃO!F14</f>
        <v>1.6866117130863625E-2</v>
      </c>
      <c r="F33" s="45"/>
      <c r="G33" s="246" t="s">
        <v>44</v>
      </c>
      <c r="H33" s="246"/>
      <c r="I33" s="246"/>
      <c r="J33" s="46"/>
    </row>
    <row r="34" spans="2:11" ht="14.4" x14ac:dyDescent="0.3">
      <c r="B34" s="45"/>
      <c r="C34" s="87" t="str">
        <f>FORMULAÇÃO!B15</f>
        <v>Premix Vitamínico Mineral CRESCIMENTO</v>
      </c>
      <c r="D34" s="139">
        <f>FORMULAÇÃO!E15</f>
        <v>0.1</v>
      </c>
      <c r="E34" s="139">
        <f>FORMULAÇÃO!F15</f>
        <v>0.01</v>
      </c>
      <c r="F34" s="45"/>
      <c r="G34" s="133" t="str">
        <f>INGREDIENTES!U5</f>
        <v>LIS_Digestível</v>
      </c>
      <c r="H34" s="162">
        <f>FORMULAÇÃO!$M$19</f>
        <v>0.84167758806868676</v>
      </c>
      <c r="I34" s="136" t="str">
        <f>INGREDIENTES!U6</f>
        <v>%</v>
      </c>
      <c r="J34" s="85"/>
      <c r="K34" s="57"/>
    </row>
    <row r="35" spans="2:11" ht="15" customHeight="1" x14ac:dyDescent="0.3">
      <c r="B35" s="45"/>
      <c r="C35" s="87" t="str">
        <f>FORMULAÇÃO!B16</f>
        <v>SAL comum</v>
      </c>
      <c r="D35" s="139">
        <f>FORMULAÇÃO!E16</f>
        <v>0.27226201765183106</v>
      </c>
      <c r="E35" s="139">
        <f>FORMULAÇÃO!F16</f>
        <v>1.2251790794332398E-3</v>
      </c>
      <c r="F35" s="45"/>
      <c r="G35" s="130" t="str">
        <f>INGREDIENTES!W5</f>
        <v>MET_Digestível</v>
      </c>
      <c r="H35" s="161">
        <f>FORMULAÇÃO!$M$21</f>
        <v>0.25055284351583024</v>
      </c>
      <c r="I35" s="137" t="str">
        <f>INGREDIENTES!W6</f>
        <v>%</v>
      </c>
      <c r="J35" s="46"/>
    </row>
    <row r="36" spans="2:11" ht="15" customHeight="1" x14ac:dyDescent="0.3">
      <c r="B36" s="45"/>
      <c r="C36" s="87" t="str">
        <f>FORMULAÇÃO!B17</f>
        <v>SORGO (baixo tanino)</v>
      </c>
      <c r="D36" s="139">
        <f>FORMULAÇÃO!E17</f>
        <v>20</v>
      </c>
      <c r="E36" s="139">
        <f>FORMULAÇÃO!F17</f>
        <v>0.2</v>
      </c>
      <c r="F36" s="45"/>
      <c r="G36" s="130" t="str">
        <f>INGREDIENTES!Y5</f>
        <v>MET+CIS_Digestível</v>
      </c>
      <c r="H36" s="161">
        <f>FORMULAÇÃO!$M$23</f>
        <v>0.34252160416243793</v>
      </c>
      <c r="I36" s="137" t="str">
        <f>INGREDIENTES!Y6</f>
        <v>%</v>
      </c>
      <c r="J36" s="46"/>
    </row>
    <row r="37" spans="2:11" ht="15" customHeight="1" x14ac:dyDescent="0.3">
      <c r="B37" s="45"/>
      <c r="C37" s="87" t="str">
        <f>FORMULAÇÃO!B18</f>
        <v>AÇÚCAR</v>
      </c>
      <c r="D37" s="139">
        <f>FORMULAÇÃO!E18</f>
        <v>1</v>
      </c>
      <c r="E37" s="139">
        <f>FORMULAÇÃO!F18</f>
        <v>2.8500000000000001E-2</v>
      </c>
      <c r="F37" s="45"/>
      <c r="G37" s="130" t="str">
        <f>INGREDIENTES!AA5</f>
        <v>TRE_Digestível</v>
      </c>
      <c r="H37" s="161">
        <f>FORMULAÇÃO!$M$25</f>
        <v>0.54585132975684747</v>
      </c>
      <c r="I37" s="137" t="str">
        <f>INGREDIENTES!AA6</f>
        <v>%</v>
      </c>
      <c r="J37" s="46"/>
    </row>
    <row r="38" spans="2:11" ht="15" customHeight="1" x14ac:dyDescent="0.3">
      <c r="B38" s="45"/>
      <c r="C38" s="87" t="str">
        <f>FORMULAÇÃO!B19</f>
        <v>MACARRÃO RESÍDUO</v>
      </c>
      <c r="D38" s="139">
        <f>FORMULAÇÃO!E19</f>
        <v>10</v>
      </c>
      <c r="E38" s="139">
        <f>FORMULAÇÃO!F19</f>
        <v>0.05</v>
      </c>
      <c r="F38" s="45"/>
      <c r="G38" s="130" t="str">
        <f>INGREDIENTES!AC5</f>
        <v>TRP_Digestível</v>
      </c>
      <c r="H38" s="161">
        <f>FORMULAÇÃO!$M$27</f>
        <v>0.15438485501728905</v>
      </c>
      <c r="I38" s="137" t="str">
        <f>INGREDIENTES!AC6</f>
        <v>%</v>
      </c>
      <c r="J38" s="46"/>
    </row>
    <row r="39" spans="2:11" ht="15" customHeight="1" x14ac:dyDescent="0.3">
      <c r="B39" s="45"/>
      <c r="C39" s="87" t="str">
        <f>FORMULAÇÃO!B20</f>
        <v>Adsorvente Micotoxina</v>
      </c>
      <c r="D39" s="139">
        <f>FORMULAÇÃO!E20</f>
        <v>0.1</v>
      </c>
      <c r="E39" s="139">
        <f>FORMULAÇÃO!F20</f>
        <v>7.4999999999999997E-3</v>
      </c>
      <c r="F39" s="45"/>
      <c r="G39" s="130" t="str">
        <f>INGREDIENTES!AE5</f>
        <v>ARG_Digestível</v>
      </c>
      <c r="H39" s="161">
        <f>FORMULAÇÃO!$M$29</f>
        <v>0.29307738669699818</v>
      </c>
      <c r="I39" s="137" t="str">
        <f>INGREDIENTES!AE6</f>
        <v>%</v>
      </c>
      <c r="J39" s="46"/>
    </row>
    <row r="40" spans="2:11" ht="15" customHeight="1" x14ac:dyDescent="0.3">
      <c r="B40" s="45"/>
      <c r="C40" s="87">
        <f>FORMULAÇÃO!B21</f>
        <v>0</v>
      </c>
      <c r="D40" s="139">
        <f>FORMULAÇÃO!E21</f>
        <v>0</v>
      </c>
      <c r="E40" s="139">
        <f>FORMULAÇÃO!F21</f>
        <v>0</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45" t="s">
        <v>12</v>
      </c>
      <c r="D51" s="246"/>
      <c r="E51" s="246"/>
      <c r="F51" s="246"/>
      <c r="G51" s="246"/>
      <c r="H51" s="246"/>
      <c r="I51" s="247"/>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55"/>
      <c r="D53" s="256"/>
      <c r="E53" s="256"/>
      <c r="F53" s="256"/>
      <c r="G53" s="256"/>
      <c r="H53" s="256"/>
      <c r="I53" s="257"/>
      <c r="J53" s="87"/>
    </row>
    <row r="54" spans="2:11" s="61" customFormat="1" ht="15" customHeight="1" x14ac:dyDescent="0.3">
      <c r="B54" s="87"/>
      <c r="C54" s="258"/>
      <c r="D54" s="259"/>
      <c r="E54" s="259"/>
      <c r="F54" s="259"/>
      <c r="G54" s="259"/>
      <c r="H54" s="259"/>
      <c r="I54" s="260"/>
      <c r="J54" s="87"/>
    </row>
    <row r="55" spans="2:11" s="61" customFormat="1" ht="15" customHeight="1" x14ac:dyDescent="0.3">
      <c r="B55" s="87"/>
      <c r="C55" s="249"/>
      <c r="D55" s="250"/>
      <c r="E55" s="250"/>
      <c r="F55" s="250"/>
      <c r="G55" s="250"/>
      <c r="H55" s="250"/>
      <c r="I55" s="251"/>
      <c r="J55" s="87"/>
    </row>
    <row r="56" spans="2:11" s="61" customFormat="1" ht="15" customHeight="1" x14ac:dyDescent="0.3">
      <c r="B56" s="87"/>
      <c r="C56" s="258"/>
      <c r="D56" s="259"/>
      <c r="E56" s="259"/>
      <c r="F56" s="259"/>
      <c r="G56" s="259"/>
      <c r="H56" s="259"/>
      <c r="I56" s="260"/>
      <c r="J56" s="87"/>
    </row>
    <row r="57" spans="2:11" s="61" customFormat="1" ht="15" customHeight="1" x14ac:dyDescent="0.3">
      <c r="B57" s="87"/>
      <c r="C57" s="249"/>
      <c r="D57" s="250"/>
      <c r="E57" s="250"/>
      <c r="F57" s="250"/>
      <c r="G57" s="250"/>
      <c r="H57" s="250"/>
      <c r="I57" s="251"/>
      <c r="J57" s="87"/>
    </row>
    <row r="58" spans="2:11" s="61" customFormat="1" ht="15" customHeight="1" x14ac:dyDescent="0.3">
      <c r="B58" s="87"/>
      <c r="C58" s="258"/>
      <c r="D58" s="259"/>
      <c r="E58" s="259"/>
      <c r="F58" s="259"/>
      <c r="G58" s="259"/>
      <c r="H58" s="259"/>
      <c r="I58" s="260"/>
      <c r="J58" s="87"/>
    </row>
    <row r="59" spans="2:11" s="61" customFormat="1" ht="15" customHeight="1" x14ac:dyDescent="0.3">
      <c r="B59" s="87"/>
      <c r="C59" s="249"/>
      <c r="D59" s="250"/>
      <c r="E59" s="250"/>
      <c r="F59" s="250"/>
      <c r="G59" s="250"/>
      <c r="H59" s="250"/>
      <c r="I59" s="251"/>
      <c r="J59" s="87"/>
    </row>
    <row r="60" spans="2:11" s="61" customFormat="1" ht="15" customHeight="1" x14ac:dyDescent="0.3">
      <c r="B60" s="87"/>
      <c r="C60" s="258"/>
      <c r="D60" s="259"/>
      <c r="E60" s="259"/>
      <c r="F60" s="259"/>
      <c r="G60" s="259"/>
      <c r="H60" s="259"/>
      <c r="I60" s="260"/>
      <c r="J60" s="87"/>
    </row>
    <row r="61" spans="2:11" ht="15" customHeight="1" x14ac:dyDescent="0.3">
      <c r="B61" s="45"/>
      <c r="C61" s="249"/>
      <c r="D61" s="250"/>
      <c r="E61" s="250"/>
      <c r="F61" s="250"/>
      <c r="G61" s="250"/>
      <c r="H61" s="250"/>
      <c r="I61" s="251"/>
      <c r="J61" s="46"/>
    </row>
    <row r="62" spans="2:11" ht="15" customHeight="1" x14ac:dyDescent="0.3">
      <c r="B62" s="45"/>
      <c r="C62" s="258"/>
      <c r="D62" s="259"/>
      <c r="E62" s="259"/>
      <c r="F62" s="259"/>
      <c r="G62" s="259"/>
      <c r="H62" s="259"/>
      <c r="I62" s="260"/>
      <c r="J62" s="46"/>
    </row>
    <row r="63" spans="2:11" ht="15" customHeight="1" x14ac:dyDescent="0.3">
      <c r="B63" s="45"/>
      <c r="C63" s="249"/>
      <c r="D63" s="250"/>
      <c r="E63" s="250"/>
      <c r="F63" s="250"/>
      <c r="G63" s="250"/>
      <c r="H63" s="250"/>
      <c r="I63" s="251"/>
      <c r="J63" s="46"/>
    </row>
    <row r="64" spans="2:11" ht="15" customHeight="1" thickBot="1" x14ac:dyDescent="0.35">
      <c r="B64" s="45"/>
      <c r="C64" s="252"/>
      <c r="D64" s="253"/>
      <c r="E64" s="253"/>
      <c r="F64" s="253"/>
      <c r="G64" s="253"/>
      <c r="H64" s="253"/>
      <c r="I64" s="254"/>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1:I1"/>
    <mergeCell ref="C2:I2"/>
    <mergeCell ref="C3:I3"/>
    <mergeCell ref="B12:J12"/>
    <mergeCell ref="D18:G18"/>
    <mergeCell ref="G6:I6"/>
    <mergeCell ref="D14:I14"/>
    <mergeCell ref="D15:I15"/>
    <mergeCell ref="D16:I16"/>
    <mergeCell ref="D17:I17"/>
    <mergeCell ref="C51:I51"/>
    <mergeCell ref="H21:I21"/>
    <mergeCell ref="G33:I33"/>
    <mergeCell ref="C63:I64"/>
    <mergeCell ref="C53:I54"/>
    <mergeCell ref="C55:I56"/>
    <mergeCell ref="C57:I58"/>
    <mergeCell ref="C59:I60"/>
    <mergeCell ref="C61:I62"/>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2"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80</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Joao Piologo</cp:lastModifiedBy>
  <cp:lastPrinted>2022-12-14T00:58:29Z</cp:lastPrinted>
  <dcterms:created xsi:type="dcterms:W3CDTF">2014-09-23T10:42:47Z</dcterms:created>
  <dcterms:modified xsi:type="dcterms:W3CDTF">2022-12-14T03:32:25Z</dcterms:modified>
</cp:coreProperties>
</file>