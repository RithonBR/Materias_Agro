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te_010\Desktop\Suinocultura\"/>
    </mc:Choice>
  </mc:AlternateContent>
  <xr:revisionPtr revIDLastSave="0" documentId="13_ncr:1_{35A27169-CCBB-434E-8D56-45223755B57F}" xr6:coauthVersionLast="47" xr6:coauthVersionMax="47" xr10:uidLastSave="{00000000-0000-0000-0000-000000000000}"/>
  <bookViews>
    <workbookView xWindow="-108" yWindow="-108" windowWidth="23256" windowHeight="12456" activeTab="1" xr2:uid="{5EF64C2D-AB3F-4D0A-A1AA-BB788FC9589C}"/>
  </bookViews>
  <sheets>
    <sheet name="Planilha1" sheetId="1" r:id="rId1"/>
    <sheet name="Crescimento" sheetId="2" r:id="rId2"/>
  </sheets>
  <externalReferences>
    <externalReference r:id="rId3"/>
  </externalReferences>
  <definedNames>
    <definedName name="CUSTO_KG">[1]INGREDIENTES!$C$7:$C$489</definedName>
    <definedName name="INGREDIENTES">[1]INGREDIENTES!$B$7:$B$489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E35" i="2" s="1"/>
  <c r="D22" i="2"/>
  <c r="J24" i="1"/>
  <c r="I24" i="1" l="1"/>
  <c r="J37" i="1"/>
  <c r="C23" i="1"/>
  <c r="D23" i="1" l="1"/>
  <c r="D37" i="1" s="1"/>
</calcChain>
</file>

<file path=xl/sharedStrings.xml><?xml version="1.0" encoding="utf-8"?>
<sst xmlns="http://schemas.openxmlformats.org/spreadsheetml/2006/main" count="117" uniqueCount="73">
  <si>
    <t>INGREDIENTE</t>
  </si>
  <si>
    <t>FARELO DE GLÚTEN de milho (60%)</t>
  </si>
  <si>
    <t>CALCÁRIO CALCÍTICO (32% de Ca)</t>
  </si>
  <si>
    <t>L-Treonina</t>
  </si>
  <si>
    <t>L-Triptofano</t>
  </si>
  <si>
    <t>DL- Metionina</t>
  </si>
  <si>
    <t>Premix Vitamínico Mineral LEITÃO</t>
  </si>
  <si>
    <t>Sangue PLASMA Spray Dried</t>
  </si>
  <si>
    <t>BHT - antioxidante</t>
  </si>
  <si>
    <t>SORO DE LEITE</t>
  </si>
  <si>
    <t>SAL comum</t>
  </si>
  <si>
    <t>FOSFATO BICÁLCICO (18%)</t>
  </si>
  <si>
    <t>ÓLEO DE SOJA</t>
  </si>
  <si>
    <t>Sucram</t>
  </si>
  <si>
    <t>Dietas</t>
  </si>
  <si>
    <t>MILHO (8%)</t>
  </si>
  <si>
    <t>FARELO DE SOJA (45%)</t>
  </si>
  <si>
    <t>Sangue HEMÁCEAS</t>
  </si>
  <si>
    <t>SOJA MICRONIZADA</t>
  </si>
  <si>
    <t>%</t>
  </si>
  <si>
    <t>Custo (R$/kg) - Ração</t>
  </si>
  <si>
    <t>Total</t>
  </si>
  <si>
    <t>Nutrientes Calculados</t>
  </si>
  <si>
    <t>Energia Metabolizável (Kcal/Kg)</t>
  </si>
  <si>
    <t>Proteína Bruta (%)</t>
  </si>
  <si>
    <t>Fibra Bruta (%)</t>
  </si>
  <si>
    <t>Extrato Etéreo (%)</t>
  </si>
  <si>
    <t>Matéria Mineral (%)</t>
  </si>
  <si>
    <t>Lisina Total (%)</t>
  </si>
  <si>
    <t>Metionina Total (%)</t>
  </si>
  <si>
    <t>Treonina Total (%)</t>
  </si>
  <si>
    <t>Triptofano Total (%)</t>
  </si>
  <si>
    <t>Cálcio (%)</t>
  </si>
  <si>
    <t>Sódio (%)</t>
  </si>
  <si>
    <t>Custo Ração (R$/Kg)</t>
  </si>
  <si>
    <t>L-Treonina¹</t>
  </si>
  <si>
    <t>L-Triptofano¹</t>
  </si>
  <si>
    <t>Dieta</t>
  </si>
  <si>
    <t>INGREDIENTE (%)</t>
  </si>
  <si>
    <r>
      <t>Sucram</t>
    </r>
    <r>
      <rPr>
        <vertAlign val="superscript"/>
        <sz val="9"/>
        <color theme="1"/>
        <rFont val="Times New Roman"/>
        <family val="1"/>
      </rPr>
      <t>4</t>
    </r>
  </si>
  <si>
    <t>Leitão Pré Inicial (5,0 a 9,0 Kg)</t>
  </si>
  <si>
    <t>Crescimento ( 50 a 70Kg P.V)</t>
  </si>
  <si>
    <t>Soro De Leite</t>
  </si>
  <si>
    <t>Fosfato Bicálcico (18%)</t>
  </si>
  <si>
    <t>Calcário Calcítico (32% De Ca)</t>
  </si>
  <si>
    <t>Óleo De Soja</t>
  </si>
  <si>
    <t>Sangue Plasma Spray Dried</t>
  </si>
  <si>
    <t>Sal Comum</t>
  </si>
  <si>
    <t>Milho (8%)</t>
  </si>
  <si>
    <t>Farelo De Soja (45%)</t>
  </si>
  <si>
    <t>Soja Micronizada</t>
  </si>
  <si>
    <t>Sangue Hemáceas</t>
  </si>
  <si>
    <t>L-Lisina Hcl¹</t>
  </si>
  <si>
    <t>Premix Vitamínico Mineral Leitão²</t>
  </si>
  <si>
    <r>
      <t>Açúcar</t>
    </r>
    <r>
      <rPr>
        <vertAlign val="superscript"/>
        <sz val="9"/>
        <color theme="1"/>
        <rFont val="Times New Roman"/>
        <family val="1"/>
      </rPr>
      <t>4</t>
    </r>
  </si>
  <si>
    <t>Dl- Metionina¹</t>
  </si>
  <si>
    <t>Bht - Antioxidante³</t>
  </si>
  <si>
    <t>Sorgo (Baixo Tanino)</t>
  </si>
  <si>
    <t>Farelo De Bolacha</t>
  </si>
  <si>
    <t>Macarrão Resíduo</t>
  </si>
  <si>
    <t>Farinha De Carne E Ossos (52%)</t>
  </si>
  <si>
    <t>²Aditivo nutricional que contém vitaminas, aminoácidos e microminerais, os quais auxiliam no balanceamento da ração e são necessários em pequenas quantidades. São produtos que contém cálcio, fósforo, sódio, cloro, potássio, magnésio, enxofrem, Cobre, Fe, Iodo, manganês, selênio, zinco e cromo. Funcionam como "co-fatores" do metabolismo no organismo.</t>
  </si>
  <si>
    <t>³Aditivo tecnológico para evitar a oxidação de gorduras e óleos (como óleo de soja) a fim de preservar contra mau odor e palatabilidade desagradável.</t>
  </si>
  <si>
    <t>¹Aditivo nutricional de aminoácidos para complementar a demanda proteica, visto que esses aminoácidos não são sintetizados pelos animais (ou em volume ou na velocidade necessária).</t>
  </si>
  <si>
    <r>
      <rPr>
        <vertAlign val="superscript"/>
        <sz val="9"/>
        <color theme="1"/>
        <rFont val="Times New Roman"/>
        <family val="1"/>
      </rPr>
      <t>4</t>
    </r>
    <r>
      <rPr>
        <sz val="10"/>
        <color theme="1"/>
        <rFont val="Times New Roman"/>
        <family val="1"/>
      </rPr>
      <t>Aditivo sensorial realçador de sabor para melhorar a palatabilidade.</t>
    </r>
  </si>
  <si>
    <t>Açúcar</t>
  </si>
  <si>
    <t>L-Lisina Hcl</t>
  </si>
  <si>
    <t>Premix Vitamínico Mineral Crescimento</t>
  </si>
  <si>
    <t>Dl- Metionina</t>
  </si>
  <si>
    <t>Bht - Antioxidante</t>
  </si>
  <si>
    <r>
      <t>Adsorvente Micotoxina</t>
    </r>
    <r>
      <rPr>
        <vertAlign val="superscript"/>
        <sz val="10"/>
        <color theme="1"/>
        <rFont val="Times New Roman"/>
        <family val="1"/>
      </rPr>
      <t>5</t>
    </r>
  </si>
  <si>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Aditivo sensorial realçador de sabor para melhorar a palatabilidade.</t>
    </r>
  </si>
  <si>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Produto inserido para se ligar as micotoxinas e transporta-las para fora do trato gastrointestinal (não sendo absorvido). AS micotoxinas são causadas por fungos devido a má conservação dos grãos (milho por exemplo) causando a redução de consumo e queda na imunidade dos animais.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</si>
</sst>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20">
    <dxf>
      <font>
        <color theme="2" tint="-0.749961851863155"/>
      </font>
    </dxf>
    <dxf>
      <font>
        <color auto="1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ill>
        <patternFill>
          <bgColor theme="6"/>
        </patternFill>
      </fill>
    </dxf>
    <dxf>
      <fill>
        <patternFill>
          <bgColor theme="5"/>
        </patternFill>
      </fill>
    </dxf>
    <dxf>
      <font>
        <color theme="2" tint="-0.749961851863155"/>
      </font>
      <fill>
        <patternFill>
          <bgColor theme="2" tint="-0.749961851863155"/>
        </patternFill>
      </fill>
    </dxf>
    <dxf>
      <font>
        <color auto="1"/>
      </font>
    </dxf>
    <dxf>
      <font>
        <color theme="2" tint="-0.749961851863155"/>
      </font>
    </dxf>
    <dxf>
      <font>
        <color auto="1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ill>
        <patternFill>
          <bgColor theme="6"/>
        </patternFill>
      </fill>
    </dxf>
    <dxf>
      <fill>
        <patternFill>
          <bgColor theme="5"/>
        </patternFill>
      </fill>
    </dxf>
    <dxf>
      <font>
        <color theme="2" tint="-0.749961851863155"/>
      </font>
      <fill>
        <patternFill>
          <bgColor theme="2" tint="-0.749961851863155"/>
        </patternFill>
      </fill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ASY%20FEED_V2_Leitao__grupo_3_JoaoLOngen_JoaoPiologo_IreThoma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LA_INICIAL"/>
      <sheetName val="INGREDIENTES"/>
      <sheetName val="EXIGÊNCIAS"/>
      <sheetName val="FORMULAÇÃO"/>
      <sheetName val="CONTRIBUIÇÃO_INDIVIDUAL"/>
      <sheetName val="RELATÓRIO"/>
      <sheetName val="FORNECEDORES"/>
      <sheetName val="AJUDA"/>
    </sheetNames>
    <sheetDataSet>
      <sheetData sheetId="0"/>
      <sheetData sheetId="1">
        <row r="7">
          <cell r="B7" t="str">
            <v>Acidal NC - acidificante</v>
          </cell>
          <cell r="C7">
            <v>25</v>
          </cell>
        </row>
        <row r="8">
          <cell r="B8" t="str">
            <v>AÇÚCAR</v>
          </cell>
          <cell r="C8">
            <v>2.85</v>
          </cell>
        </row>
        <row r="9">
          <cell r="B9" t="str">
            <v>Adsorvente Micotoxina</v>
          </cell>
          <cell r="C9">
            <v>7.5</v>
          </cell>
        </row>
        <row r="10">
          <cell r="B10" t="str">
            <v>ARROZ, QUIRERA</v>
          </cell>
          <cell r="C10">
            <v>1.65</v>
          </cell>
        </row>
        <row r="11">
          <cell r="B11" t="str">
            <v>BHT - antioxidante</v>
          </cell>
          <cell r="C11">
            <v>35</v>
          </cell>
        </row>
        <row r="12">
          <cell r="B12" t="str">
            <v>Blend de Acidificantes</v>
          </cell>
          <cell r="C12">
            <v>9</v>
          </cell>
        </row>
        <row r="13">
          <cell r="B13" t="str">
            <v>CALCÁRIO CALCÍTICO (32% de Ca)</v>
          </cell>
          <cell r="C13">
            <v>2.5</v>
          </cell>
        </row>
        <row r="14">
          <cell r="B14" t="str">
            <v>CLORETO DE COLINA (60%)</v>
          </cell>
          <cell r="C14">
            <v>10</v>
          </cell>
        </row>
        <row r="15">
          <cell r="B15" t="str">
            <v>Complexo Enzimático</v>
          </cell>
          <cell r="C15">
            <v>15</v>
          </cell>
        </row>
        <row r="16">
          <cell r="B16" t="str">
            <v>DL- Metionina</v>
          </cell>
          <cell r="C16">
            <v>20</v>
          </cell>
        </row>
        <row r="17">
          <cell r="B17" t="str">
            <v>Enzima Fitase (5000 FTU)</v>
          </cell>
          <cell r="C17">
            <v>16</v>
          </cell>
        </row>
        <row r="18">
          <cell r="B18" t="str">
            <v>FARELO DE BOLACHA</v>
          </cell>
          <cell r="C18">
            <v>0.8</v>
          </cell>
        </row>
        <row r="19">
          <cell r="B19" t="str">
            <v>FARELO DE GLÚTEN de milho (60%)</v>
          </cell>
          <cell r="C19">
            <v>4.5</v>
          </cell>
        </row>
        <row r="20">
          <cell r="B20" t="str">
            <v>FARELO DE SOJA (45%) (inserir preço)</v>
          </cell>
          <cell r="C20">
            <v>2.5499999999999998</v>
          </cell>
        </row>
        <row r="21">
          <cell r="B21" t="str">
            <v>FARELO DE TRIGO</v>
          </cell>
          <cell r="C21">
            <v>1.2</v>
          </cell>
        </row>
        <row r="22">
          <cell r="B22" t="str">
            <v>FARINHA DE CARNE E OSSOS (52%)</v>
          </cell>
          <cell r="C22">
            <v>3.4</v>
          </cell>
        </row>
        <row r="23">
          <cell r="B23" t="str">
            <v>FOSFATO BICÁLCICO (18%)</v>
          </cell>
          <cell r="C23">
            <v>10.5</v>
          </cell>
        </row>
        <row r="24">
          <cell r="B24" t="str">
            <v>LEITE EM PÓ DESNATADO</v>
          </cell>
          <cell r="C24">
            <v>18</v>
          </cell>
        </row>
        <row r="25">
          <cell r="B25" t="str">
            <v>L-Lisina HCL</v>
          </cell>
          <cell r="C25">
            <v>35</v>
          </cell>
        </row>
        <row r="26">
          <cell r="B26" t="str">
            <v>L-Treonina</v>
          </cell>
          <cell r="C26">
            <v>24</v>
          </cell>
        </row>
        <row r="27">
          <cell r="B27" t="str">
            <v>L-Triptofano</v>
          </cell>
          <cell r="C27">
            <v>58</v>
          </cell>
        </row>
        <row r="28">
          <cell r="B28" t="str">
            <v>MACARRÃO RESÍDUO</v>
          </cell>
          <cell r="C28">
            <v>0.5</v>
          </cell>
        </row>
        <row r="29">
          <cell r="B29" t="str">
            <v>Milheto</v>
          </cell>
          <cell r="C29">
            <v>1.06</v>
          </cell>
        </row>
        <row r="30">
          <cell r="B30" t="str">
            <v>MILHO (8%) (inserir preço)</v>
          </cell>
          <cell r="C30">
            <v>1.41</v>
          </cell>
        </row>
        <row r="31">
          <cell r="B31" t="str">
            <v>Nuklospray K-21 (cadastrar a matriz nutricional)</v>
          </cell>
          <cell r="C31">
            <v>13</v>
          </cell>
        </row>
        <row r="32">
          <cell r="B32" t="str">
            <v>Nuklospray K-24 (cadastrar a matriz nutricional)</v>
          </cell>
          <cell r="C32">
            <v>12</v>
          </cell>
        </row>
        <row r="33">
          <cell r="B33" t="str">
            <v>ÓLEO DE SOJA</v>
          </cell>
          <cell r="C33">
            <v>7</v>
          </cell>
        </row>
        <row r="34">
          <cell r="B34" t="str">
            <v>Premix Vitamínico Mineral CRESCIMENTO</v>
          </cell>
          <cell r="C34">
            <v>10</v>
          </cell>
        </row>
        <row r="35">
          <cell r="B35" t="str">
            <v>Premix Vitamínico Mineral LEITÃO</v>
          </cell>
          <cell r="C35">
            <v>14</v>
          </cell>
        </row>
        <row r="36">
          <cell r="B36" t="str">
            <v>Premix Vitamínico Mineral REPRODUÇÃO</v>
          </cell>
          <cell r="C36">
            <v>13</v>
          </cell>
        </row>
        <row r="37">
          <cell r="B37" t="str">
            <v>SAL comum</v>
          </cell>
          <cell r="C37">
            <v>0.45</v>
          </cell>
        </row>
        <row r="38">
          <cell r="B38" t="str">
            <v>Sangue HEMÁCEAS (cadastrar a matriz nutricional)</v>
          </cell>
          <cell r="C38">
            <v>14.5</v>
          </cell>
        </row>
        <row r="39">
          <cell r="B39" t="str">
            <v>Sangue PLASMA Spray Dried</v>
          </cell>
          <cell r="C39">
            <v>21</v>
          </cell>
        </row>
        <row r="40">
          <cell r="B40" t="str">
            <v>SOJA EXTRUSADA (inserir preço)</v>
          </cell>
          <cell r="C40">
            <v>3.6280000000000001</v>
          </cell>
        </row>
        <row r="41">
          <cell r="B41" t="str">
            <v>SOJA MICRONIZADA(inserir preço)</v>
          </cell>
          <cell r="C41">
            <v>3.7639999999999998</v>
          </cell>
        </row>
        <row r="42">
          <cell r="B42" t="str">
            <v>SOJA TOSTADA (inserir preço)</v>
          </cell>
          <cell r="C42">
            <v>2.7930000000000001</v>
          </cell>
        </row>
        <row r="43">
          <cell r="B43" t="str">
            <v>SORGO (baixo tanino)</v>
          </cell>
          <cell r="C43">
            <v>1</v>
          </cell>
        </row>
        <row r="44">
          <cell r="B44" t="str">
            <v>SORO DE LEITE</v>
          </cell>
          <cell r="C44">
            <v>10</v>
          </cell>
        </row>
        <row r="45">
          <cell r="B45" t="str">
            <v>Sucram</v>
          </cell>
          <cell r="C45">
            <v>18</v>
          </cell>
        </row>
        <row r="46">
          <cell r="B46"/>
          <cell r="C46"/>
        </row>
        <row r="47">
          <cell r="B47"/>
          <cell r="C47"/>
        </row>
        <row r="48">
          <cell r="B48"/>
          <cell r="C48"/>
        </row>
        <row r="49">
          <cell r="B49"/>
          <cell r="C49"/>
        </row>
        <row r="50">
          <cell r="B50"/>
          <cell r="C50"/>
        </row>
        <row r="51">
          <cell r="B51"/>
          <cell r="C51"/>
        </row>
        <row r="52">
          <cell r="B52"/>
          <cell r="C52"/>
        </row>
        <row r="53">
          <cell r="B53"/>
          <cell r="C53"/>
        </row>
        <row r="54">
          <cell r="B54"/>
          <cell r="C54"/>
        </row>
        <row r="55">
          <cell r="B55"/>
          <cell r="C55"/>
        </row>
        <row r="56">
          <cell r="B56"/>
          <cell r="C56"/>
        </row>
        <row r="57">
          <cell r="B57"/>
          <cell r="C57"/>
        </row>
        <row r="58">
          <cell r="B58"/>
          <cell r="C58"/>
        </row>
        <row r="59">
          <cell r="B59"/>
          <cell r="C59"/>
        </row>
        <row r="60">
          <cell r="B60"/>
          <cell r="C60"/>
        </row>
        <row r="61">
          <cell r="B61"/>
          <cell r="C61"/>
        </row>
        <row r="62">
          <cell r="B62"/>
          <cell r="C62"/>
        </row>
        <row r="63">
          <cell r="B63"/>
          <cell r="C63"/>
        </row>
        <row r="64">
          <cell r="B64"/>
          <cell r="C64"/>
        </row>
        <row r="65">
          <cell r="B65"/>
          <cell r="C65"/>
        </row>
        <row r="66">
          <cell r="B66"/>
          <cell r="C66"/>
        </row>
        <row r="67">
          <cell r="B67"/>
          <cell r="C67"/>
        </row>
        <row r="68">
          <cell r="B68"/>
          <cell r="C68"/>
        </row>
        <row r="69">
          <cell r="B69"/>
          <cell r="C69"/>
        </row>
        <row r="70">
          <cell r="B70"/>
          <cell r="C70"/>
        </row>
        <row r="71">
          <cell r="B71"/>
          <cell r="C71"/>
        </row>
        <row r="72">
          <cell r="B72"/>
          <cell r="C72"/>
        </row>
        <row r="73">
          <cell r="B73"/>
          <cell r="C73"/>
        </row>
        <row r="74">
          <cell r="B74"/>
          <cell r="C74"/>
        </row>
        <row r="75">
          <cell r="B75"/>
          <cell r="C75"/>
        </row>
        <row r="76">
          <cell r="B76"/>
          <cell r="C76"/>
        </row>
        <row r="77">
          <cell r="B77"/>
          <cell r="C77"/>
        </row>
        <row r="78">
          <cell r="B78"/>
          <cell r="C78"/>
        </row>
        <row r="79">
          <cell r="B79"/>
          <cell r="C79"/>
        </row>
        <row r="80">
          <cell r="B80"/>
          <cell r="C80"/>
        </row>
        <row r="81">
          <cell r="B81"/>
          <cell r="C81"/>
        </row>
        <row r="82">
          <cell r="B82"/>
          <cell r="C82"/>
        </row>
        <row r="83">
          <cell r="B83"/>
          <cell r="C83"/>
        </row>
        <row r="84">
          <cell r="B84"/>
          <cell r="C84"/>
        </row>
        <row r="85">
          <cell r="B85"/>
          <cell r="C85"/>
        </row>
        <row r="86">
          <cell r="B86"/>
          <cell r="C86"/>
        </row>
        <row r="87">
          <cell r="B87"/>
          <cell r="C87"/>
        </row>
        <row r="88">
          <cell r="B88"/>
          <cell r="C88"/>
        </row>
        <row r="89">
          <cell r="B89"/>
          <cell r="C89"/>
        </row>
        <row r="90">
          <cell r="B90"/>
          <cell r="C90"/>
        </row>
        <row r="91">
          <cell r="B91"/>
          <cell r="C91"/>
        </row>
        <row r="92">
          <cell r="B92"/>
          <cell r="C92"/>
        </row>
        <row r="93">
          <cell r="B93"/>
          <cell r="C93"/>
        </row>
        <row r="94">
          <cell r="B94"/>
          <cell r="C94"/>
        </row>
        <row r="95">
          <cell r="B95"/>
          <cell r="C95"/>
        </row>
        <row r="96">
          <cell r="B96"/>
          <cell r="C96"/>
        </row>
        <row r="97">
          <cell r="B97"/>
          <cell r="C97"/>
        </row>
        <row r="98">
          <cell r="B98"/>
          <cell r="C98"/>
        </row>
        <row r="99">
          <cell r="B99"/>
          <cell r="C99"/>
        </row>
        <row r="100">
          <cell r="B100"/>
          <cell r="C100"/>
        </row>
        <row r="101">
          <cell r="B101"/>
          <cell r="C101"/>
        </row>
        <row r="102">
          <cell r="B102"/>
          <cell r="C102"/>
        </row>
        <row r="103">
          <cell r="B103"/>
          <cell r="C103"/>
        </row>
        <row r="104">
          <cell r="B104"/>
          <cell r="C104"/>
        </row>
        <row r="105">
          <cell r="B105"/>
          <cell r="C105"/>
        </row>
        <row r="106">
          <cell r="B106"/>
          <cell r="C106"/>
        </row>
        <row r="107">
          <cell r="B107"/>
          <cell r="C107"/>
        </row>
        <row r="108">
          <cell r="B108"/>
          <cell r="C108"/>
        </row>
        <row r="109">
          <cell r="B109"/>
          <cell r="C109"/>
        </row>
        <row r="110">
          <cell r="B110"/>
          <cell r="C110"/>
        </row>
        <row r="111">
          <cell r="B111"/>
          <cell r="C111"/>
        </row>
        <row r="112">
          <cell r="B112"/>
          <cell r="C112"/>
        </row>
        <row r="113">
          <cell r="B113"/>
          <cell r="C113"/>
        </row>
        <row r="114">
          <cell r="B114"/>
          <cell r="C114"/>
        </row>
        <row r="115">
          <cell r="B115"/>
          <cell r="C115"/>
        </row>
        <row r="116">
          <cell r="B116"/>
          <cell r="C116"/>
        </row>
        <row r="117">
          <cell r="B117"/>
          <cell r="C117"/>
        </row>
        <row r="118">
          <cell r="B118"/>
          <cell r="C118"/>
        </row>
        <row r="119">
          <cell r="B119"/>
          <cell r="C119"/>
        </row>
        <row r="120">
          <cell r="B120"/>
          <cell r="C120"/>
        </row>
        <row r="121">
          <cell r="B121"/>
          <cell r="C121"/>
        </row>
        <row r="122">
          <cell r="B122"/>
          <cell r="C122"/>
        </row>
        <row r="123">
          <cell r="B123"/>
          <cell r="C123"/>
        </row>
        <row r="124">
          <cell r="B124"/>
          <cell r="C124"/>
        </row>
        <row r="125">
          <cell r="B125"/>
          <cell r="C125"/>
        </row>
        <row r="126">
          <cell r="B126"/>
          <cell r="C126"/>
        </row>
        <row r="127">
          <cell r="B127"/>
          <cell r="C127"/>
        </row>
        <row r="128">
          <cell r="B128"/>
          <cell r="C128"/>
        </row>
        <row r="129">
          <cell r="B129"/>
          <cell r="C129"/>
        </row>
        <row r="130">
          <cell r="B130"/>
          <cell r="C130"/>
        </row>
        <row r="131">
          <cell r="B131"/>
          <cell r="C131"/>
        </row>
        <row r="132">
          <cell r="B132"/>
          <cell r="C132"/>
        </row>
        <row r="133">
          <cell r="B133"/>
          <cell r="C133"/>
        </row>
        <row r="134">
          <cell r="B134"/>
          <cell r="C134"/>
        </row>
        <row r="135">
          <cell r="B135"/>
          <cell r="C135"/>
        </row>
        <row r="136">
          <cell r="B136"/>
          <cell r="C136"/>
        </row>
        <row r="137">
          <cell r="B137"/>
          <cell r="C137"/>
        </row>
        <row r="138">
          <cell r="B138"/>
          <cell r="C138"/>
        </row>
        <row r="139">
          <cell r="B139"/>
          <cell r="C139"/>
        </row>
        <row r="140">
          <cell r="B140"/>
          <cell r="C140"/>
        </row>
        <row r="141">
          <cell r="B141"/>
          <cell r="C141"/>
        </row>
        <row r="142">
          <cell r="B142"/>
          <cell r="C142"/>
        </row>
        <row r="143">
          <cell r="B143"/>
          <cell r="C143"/>
        </row>
        <row r="144">
          <cell r="B144"/>
          <cell r="C144"/>
        </row>
        <row r="145">
          <cell r="B145"/>
          <cell r="C145"/>
        </row>
        <row r="146">
          <cell r="B146"/>
          <cell r="C146"/>
        </row>
        <row r="147">
          <cell r="B147"/>
          <cell r="C147"/>
        </row>
        <row r="148">
          <cell r="B148"/>
          <cell r="C148"/>
        </row>
        <row r="149">
          <cell r="B149"/>
          <cell r="C149"/>
        </row>
        <row r="150">
          <cell r="B150"/>
          <cell r="C150"/>
        </row>
        <row r="151">
          <cell r="B151"/>
          <cell r="C151"/>
        </row>
        <row r="152">
          <cell r="B152"/>
          <cell r="C152"/>
        </row>
        <row r="153">
          <cell r="B153"/>
          <cell r="C153"/>
        </row>
        <row r="154">
          <cell r="B154"/>
          <cell r="C154"/>
        </row>
        <row r="155">
          <cell r="B155"/>
          <cell r="C155"/>
        </row>
        <row r="156">
          <cell r="B156"/>
          <cell r="C156"/>
        </row>
        <row r="157">
          <cell r="B157"/>
          <cell r="C157"/>
        </row>
        <row r="158">
          <cell r="B158"/>
          <cell r="C158"/>
        </row>
        <row r="159">
          <cell r="B159"/>
          <cell r="C159"/>
        </row>
        <row r="160">
          <cell r="B160"/>
          <cell r="C160"/>
        </row>
        <row r="161">
          <cell r="B161"/>
          <cell r="C161"/>
        </row>
        <row r="162">
          <cell r="B162"/>
          <cell r="C162"/>
        </row>
        <row r="163">
          <cell r="B163"/>
          <cell r="C163"/>
        </row>
        <row r="164">
          <cell r="B164"/>
          <cell r="C164"/>
        </row>
        <row r="165">
          <cell r="B165"/>
          <cell r="C165"/>
        </row>
        <row r="166">
          <cell r="B166"/>
          <cell r="C166"/>
        </row>
        <row r="167">
          <cell r="B167"/>
          <cell r="C167"/>
        </row>
        <row r="168">
          <cell r="B168"/>
          <cell r="C168"/>
        </row>
        <row r="169">
          <cell r="B169"/>
          <cell r="C169"/>
        </row>
        <row r="170">
          <cell r="B170"/>
          <cell r="C170"/>
        </row>
        <row r="171">
          <cell r="B171"/>
          <cell r="C171"/>
        </row>
        <row r="172">
          <cell r="B172"/>
          <cell r="C172"/>
        </row>
        <row r="173">
          <cell r="B173"/>
          <cell r="C173"/>
        </row>
        <row r="174">
          <cell r="B174"/>
          <cell r="C174"/>
        </row>
        <row r="175">
          <cell r="B175"/>
          <cell r="C175"/>
        </row>
        <row r="176">
          <cell r="B176"/>
          <cell r="C176"/>
        </row>
        <row r="177">
          <cell r="B177"/>
          <cell r="C177"/>
        </row>
        <row r="178">
          <cell r="B178"/>
          <cell r="C178"/>
        </row>
        <row r="179">
          <cell r="B179"/>
          <cell r="C179"/>
        </row>
        <row r="180">
          <cell r="B180"/>
          <cell r="C180"/>
        </row>
        <row r="181">
          <cell r="B181"/>
          <cell r="C181"/>
        </row>
        <row r="182">
          <cell r="B182"/>
          <cell r="C182"/>
        </row>
        <row r="183">
          <cell r="B183"/>
          <cell r="C183"/>
        </row>
        <row r="184">
          <cell r="B184"/>
          <cell r="C184"/>
        </row>
        <row r="185">
          <cell r="B185"/>
          <cell r="C185"/>
        </row>
        <row r="186">
          <cell r="B186"/>
          <cell r="C186"/>
        </row>
        <row r="187">
          <cell r="B187"/>
          <cell r="C187"/>
        </row>
        <row r="188">
          <cell r="B188"/>
          <cell r="C188"/>
        </row>
        <row r="189">
          <cell r="B189"/>
          <cell r="C189"/>
        </row>
        <row r="190">
          <cell r="B190"/>
          <cell r="C190"/>
        </row>
        <row r="191">
          <cell r="B191"/>
          <cell r="C191"/>
        </row>
        <row r="192">
          <cell r="B192"/>
          <cell r="C192"/>
        </row>
        <row r="193">
          <cell r="B193"/>
          <cell r="C193"/>
        </row>
        <row r="194">
          <cell r="B194"/>
          <cell r="C194"/>
        </row>
        <row r="195">
          <cell r="B195"/>
          <cell r="C195"/>
        </row>
        <row r="196">
          <cell r="B196"/>
          <cell r="C196"/>
        </row>
        <row r="197">
          <cell r="B197"/>
          <cell r="C197"/>
        </row>
        <row r="198">
          <cell r="B198"/>
          <cell r="C198"/>
        </row>
        <row r="199">
          <cell r="B199"/>
          <cell r="C199"/>
        </row>
        <row r="200">
          <cell r="B200"/>
          <cell r="C200"/>
        </row>
        <row r="201">
          <cell r="B201"/>
          <cell r="C201"/>
        </row>
        <row r="202">
          <cell r="B202"/>
          <cell r="C202"/>
        </row>
        <row r="203">
          <cell r="B203"/>
          <cell r="C203"/>
        </row>
        <row r="204">
          <cell r="B204"/>
          <cell r="C204"/>
        </row>
        <row r="205">
          <cell r="B205"/>
          <cell r="C205"/>
        </row>
        <row r="206">
          <cell r="B206"/>
          <cell r="C206"/>
        </row>
        <row r="207">
          <cell r="B207"/>
          <cell r="C207"/>
        </row>
        <row r="208">
          <cell r="B208"/>
          <cell r="C208"/>
        </row>
        <row r="209">
          <cell r="B209"/>
          <cell r="C209"/>
        </row>
        <row r="210">
          <cell r="B210"/>
          <cell r="C210"/>
        </row>
        <row r="211">
          <cell r="B211"/>
          <cell r="C211"/>
        </row>
        <row r="212">
          <cell r="B212"/>
          <cell r="C212"/>
        </row>
        <row r="213">
          <cell r="B213"/>
          <cell r="C213"/>
        </row>
        <row r="214">
          <cell r="B214"/>
          <cell r="C214"/>
        </row>
        <row r="215">
          <cell r="B215"/>
          <cell r="C215"/>
        </row>
        <row r="216">
          <cell r="B216"/>
          <cell r="C216"/>
        </row>
        <row r="217">
          <cell r="B217"/>
          <cell r="C217"/>
        </row>
        <row r="218">
          <cell r="B218"/>
          <cell r="C218"/>
        </row>
        <row r="219">
          <cell r="B219"/>
          <cell r="C219"/>
        </row>
        <row r="220">
          <cell r="B220"/>
          <cell r="C220"/>
        </row>
        <row r="221">
          <cell r="B221"/>
          <cell r="C221"/>
        </row>
        <row r="222">
          <cell r="B222"/>
          <cell r="C222"/>
        </row>
        <row r="223">
          <cell r="B223"/>
          <cell r="C223"/>
        </row>
        <row r="224">
          <cell r="B224"/>
          <cell r="C224"/>
        </row>
        <row r="225">
          <cell r="B225"/>
          <cell r="C225"/>
        </row>
        <row r="226">
          <cell r="B226"/>
          <cell r="C226"/>
        </row>
        <row r="227">
          <cell r="B227"/>
          <cell r="C227"/>
        </row>
        <row r="228">
          <cell r="B228"/>
          <cell r="C228"/>
        </row>
        <row r="229">
          <cell r="B229"/>
          <cell r="C229"/>
        </row>
        <row r="230">
          <cell r="B230"/>
          <cell r="C230"/>
        </row>
        <row r="231">
          <cell r="B231"/>
          <cell r="C231"/>
        </row>
        <row r="232">
          <cell r="B232"/>
          <cell r="C232"/>
        </row>
        <row r="233">
          <cell r="B233"/>
          <cell r="C233"/>
        </row>
        <row r="234">
          <cell r="B234"/>
          <cell r="C234"/>
        </row>
        <row r="235">
          <cell r="B235"/>
          <cell r="C235"/>
        </row>
        <row r="236">
          <cell r="B236"/>
          <cell r="C236"/>
        </row>
        <row r="237">
          <cell r="B237"/>
          <cell r="C237"/>
        </row>
        <row r="238">
          <cell r="B238"/>
          <cell r="C238"/>
        </row>
        <row r="239">
          <cell r="B239"/>
          <cell r="C239"/>
        </row>
        <row r="240">
          <cell r="B240"/>
          <cell r="C240"/>
        </row>
        <row r="241">
          <cell r="B241"/>
          <cell r="C241"/>
        </row>
        <row r="242">
          <cell r="B242"/>
          <cell r="C242"/>
        </row>
        <row r="243">
          <cell r="B243"/>
          <cell r="C243"/>
        </row>
        <row r="244">
          <cell r="B244"/>
          <cell r="C244"/>
        </row>
        <row r="245">
          <cell r="B245"/>
          <cell r="C245"/>
        </row>
        <row r="246">
          <cell r="B246"/>
          <cell r="C246"/>
        </row>
        <row r="247">
          <cell r="B247"/>
          <cell r="C247"/>
        </row>
        <row r="248">
          <cell r="B248"/>
          <cell r="C248"/>
        </row>
        <row r="249">
          <cell r="B249"/>
          <cell r="C249"/>
        </row>
        <row r="250">
          <cell r="B250"/>
          <cell r="C250"/>
        </row>
        <row r="251">
          <cell r="B251"/>
          <cell r="C251"/>
        </row>
        <row r="252">
          <cell r="B252"/>
          <cell r="C252"/>
        </row>
        <row r="253">
          <cell r="B253"/>
          <cell r="C253"/>
        </row>
        <row r="254">
          <cell r="B254"/>
          <cell r="C254"/>
        </row>
        <row r="255">
          <cell r="B255"/>
          <cell r="C255"/>
        </row>
        <row r="256">
          <cell r="B256"/>
          <cell r="C256"/>
        </row>
        <row r="257">
          <cell r="B257"/>
          <cell r="C257"/>
        </row>
        <row r="258">
          <cell r="B258"/>
          <cell r="C258"/>
        </row>
        <row r="259">
          <cell r="B259"/>
          <cell r="C259"/>
        </row>
        <row r="260">
          <cell r="B260"/>
          <cell r="C260"/>
        </row>
        <row r="261">
          <cell r="B261"/>
          <cell r="C261"/>
        </row>
        <row r="262">
          <cell r="B262"/>
          <cell r="C262"/>
        </row>
        <row r="263">
          <cell r="B263"/>
          <cell r="C263"/>
        </row>
        <row r="264">
          <cell r="B264"/>
          <cell r="C264"/>
        </row>
        <row r="265">
          <cell r="B265"/>
          <cell r="C265"/>
        </row>
        <row r="266">
          <cell r="B266"/>
          <cell r="C266"/>
        </row>
        <row r="267">
          <cell r="B267"/>
          <cell r="C267"/>
        </row>
        <row r="268">
          <cell r="B268"/>
          <cell r="C268"/>
        </row>
        <row r="269">
          <cell r="B269"/>
          <cell r="C269"/>
        </row>
        <row r="270">
          <cell r="B270"/>
          <cell r="C270"/>
        </row>
        <row r="271">
          <cell r="B271"/>
          <cell r="C271"/>
        </row>
        <row r="272">
          <cell r="B272"/>
          <cell r="C272"/>
        </row>
        <row r="273">
          <cell r="B273"/>
          <cell r="C273"/>
        </row>
        <row r="274">
          <cell r="B274"/>
          <cell r="C274"/>
        </row>
        <row r="275">
          <cell r="B275"/>
          <cell r="C275"/>
        </row>
        <row r="276">
          <cell r="B276"/>
          <cell r="C276"/>
        </row>
        <row r="277">
          <cell r="B277"/>
          <cell r="C277"/>
        </row>
        <row r="278">
          <cell r="B278"/>
          <cell r="C278"/>
        </row>
        <row r="279">
          <cell r="B279"/>
          <cell r="C279"/>
        </row>
        <row r="280">
          <cell r="B280"/>
          <cell r="C280"/>
        </row>
        <row r="281">
          <cell r="B281"/>
          <cell r="C281"/>
        </row>
        <row r="282">
          <cell r="B282"/>
          <cell r="C282"/>
        </row>
        <row r="283">
          <cell r="B283"/>
          <cell r="C283"/>
        </row>
        <row r="284">
          <cell r="B284"/>
          <cell r="C284"/>
        </row>
        <row r="285">
          <cell r="B285"/>
          <cell r="C285"/>
        </row>
        <row r="286">
          <cell r="B286"/>
          <cell r="C286"/>
        </row>
        <row r="287">
          <cell r="B287"/>
          <cell r="C287"/>
        </row>
        <row r="288">
          <cell r="B288"/>
          <cell r="C288"/>
        </row>
        <row r="289">
          <cell r="B289"/>
          <cell r="C289"/>
        </row>
        <row r="290">
          <cell r="B290"/>
          <cell r="C290"/>
        </row>
        <row r="291">
          <cell r="B291"/>
          <cell r="C291"/>
        </row>
        <row r="292">
          <cell r="B292"/>
          <cell r="C292"/>
        </row>
        <row r="293">
          <cell r="B293"/>
          <cell r="C293"/>
        </row>
        <row r="294">
          <cell r="B294"/>
          <cell r="C294"/>
        </row>
        <row r="295">
          <cell r="B295"/>
          <cell r="C295"/>
        </row>
        <row r="296">
          <cell r="B296"/>
          <cell r="C296"/>
        </row>
        <row r="297">
          <cell r="B297"/>
          <cell r="C297"/>
        </row>
        <row r="298">
          <cell r="B298"/>
          <cell r="C298"/>
        </row>
        <row r="299">
          <cell r="B299"/>
          <cell r="C299"/>
        </row>
        <row r="300">
          <cell r="B300"/>
          <cell r="C300"/>
        </row>
        <row r="301">
          <cell r="B301"/>
          <cell r="C301"/>
        </row>
        <row r="302">
          <cell r="B302"/>
          <cell r="C302"/>
        </row>
        <row r="303">
          <cell r="B303"/>
          <cell r="C303"/>
        </row>
        <row r="304">
          <cell r="B304"/>
          <cell r="C304"/>
        </row>
        <row r="305">
          <cell r="B305"/>
          <cell r="C305"/>
        </row>
        <row r="306">
          <cell r="B306"/>
          <cell r="C306"/>
        </row>
        <row r="307">
          <cell r="B307"/>
          <cell r="C307"/>
        </row>
        <row r="308">
          <cell r="B308"/>
          <cell r="C308"/>
        </row>
        <row r="309">
          <cell r="B309"/>
          <cell r="C309"/>
        </row>
        <row r="310">
          <cell r="B310"/>
          <cell r="C310"/>
        </row>
        <row r="311">
          <cell r="B311"/>
          <cell r="C311"/>
        </row>
        <row r="312">
          <cell r="B312"/>
          <cell r="C312"/>
        </row>
        <row r="313">
          <cell r="B313"/>
          <cell r="C313"/>
        </row>
        <row r="314">
          <cell r="B314"/>
          <cell r="C314"/>
        </row>
        <row r="315">
          <cell r="B315"/>
          <cell r="C315"/>
        </row>
        <row r="316">
          <cell r="B316"/>
          <cell r="C316"/>
        </row>
        <row r="317">
          <cell r="B317"/>
          <cell r="C317"/>
        </row>
        <row r="318">
          <cell r="B318"/>
          <cell r="C318"/>
        </row>
        <row r="319">
          <cell r="B319"/>
          <cell r="C319"/>
        </row>
        <row r="320">
          <cell r="B320"/>
          <cell r="C320"/>
        </row>
        <row r="321">
          <cell r="B321"/>
          <cell r="C321"/>
        </row>
        <row r="322">
          <cell r="B322"/>
          <cell r="C322"/>
        </row>
        <row r="323">
          <cell r="B323"/>
          <cell r="C323"/>
        </row>
        <row r="324">
          <cell r="B324"/>
          <cell r="C324"/>
        </row>
        <row r="325">
          <cell r="B325"/>
          <cell r="C325"/>
        </row>
        <row r="326">
          <cell r="B326"/>
          <cell r="C326"/>
        </row>
        <row r="327">
          <cell r="B327"/>
          <cell r="C327"/>
        </row>
        <row r="328">
          <cell r="B328"/>
          <cell r="C328"/>
        </row>
        <row r="329">
          <cell r="B329"/>
          <cell r="C329"/>
        </row>
        <row r="330">
          <cell r="B330"/>
          <cell r="C330"/>
        </row>
        <row r="331">
          <cell r="B331"/>
          <cell r="C331"/>
        </row>
        <row r="332">
          <cell r="B332"/>
          <cell r="C332"/>
        </row>
        <row r="333">
          <cell r="B333"/>
          <cell r="C333"/>
        </row>
        <row r="334">
          <cell r="B334"/>
          <cell r="C334"/>
        </row>
        <row r="335">
          <cell r="B335"/>
          <cell r="C335"/>
        </row>
        <row r="336">
          <cell r="B336"/>
          <cell r="C336"/>
        </row>
        <row r="337">
          <cell r="B337"/>
          <cell r="C337"/>
        </row>
        <row r="338">
          <cell r="B338"/>
          <cell r="C338"/>
        </row>
        <row r="339">
          <cell r="B339"/>
          <cell r="C339"/>
        </row>
        <row r="340">
          <cell r="B340"/>
          <cell r="C340"/>
        </row>
        <row r="341">
          <cell r="B341"/>
          <cell r="C341"/>
        </row>
        <row r="342">
          <cell r="B342"/>
          <cell r="C342"/>
        </row>
        <row r="343">
          <cell r="B343"/>
          <cell r="C343"/>
        </row>
        <row r="344">
          <cell r="B344"/>
          <cell r="C344"/>
        </row>
        <row r="345">
          <cell r="B345"/>
          <cell r="C345"/>
        </row>
        <row r="346">
          <cell r="B346"/>
          <cell r="C346"/>
        </row>
        <row r="347">
          <cell r="B347"/>
          <cell r="C347"/>
        </row>
        <row r="348">
          <cell r="B348"/>
          <cell r="C348"/>
        </row>
        <row r="349">
          <cell r="B349"/>
          <cell r="C349"/>
        </row>
        <row r="350">
          <cell r="B350"/>
          <cell r="C350"/>
        </row>
        <row r="351">
          <cell r="B351"/>
          <cell r="C351"/>
        </row>
        <row r="352">
          <cell r="B352"/>
          <cell r="C352"/>
        </row>
        <row r="353">
          <cell r="B353"/>
          <cell r="C353"/>
        </row>
        <row r="354">
          <cell r="B354"/>
          <cell r="C354"/>
        </row>
        <row r="355">
          <cell r="B355"/>
          <cell r="C355"/>
        </row>
        <row r="356">
          <cell r="B356"/>
          <cell r="C356"/>
        </row>
        <row r="357">
          <cell r="B357"/>
          <cell r="C357"/>
        </row>
        <row r="358">
          <cell r="B358"/>
          <cell r="C358"/>
        </row>
        <row r="359">
          <cell r="B359"/>
          <cell r="C359"/>
        </row>
        <row r="360">
          <cell r="B360"/>
          <cell r="C360"/>
        </row>
        <row r="361">
          <cell r="B361"/>
          <cell r="C361"/>
        </row>
        <row r="362">
          <cell r="B362"/>
          <cell r="C362"/>
        </row>
        <row r="363">
          <cell r="B363"/>
          <cell r="C363"/>
        </row>
        <row r="364">
          <cell r="B364"/>
          <cell r="C364"/>
        </row>
        <row r="365">
          <cell r="B365"/>
          <cell r="C365"/>
        </row>
        <row r="366">
          <cell r="B366"/>
          <cell r="C366"/>
        </row>
        <row r="367">
          <cell r="B367"/>
          <cell r="C367"/>
        </row>
        <row r="368">
          <cell r="B368"/>
          <cell r="C368"/>
        </row>
        <row r="369">
          <cell r="B369"/>
          <cell r="C369"/>
        </row>
        <row r="370">
          <cell r="B370"/>
          <cell r="C370"/>
        </row>
        <row r="371">
          <cell r="B371"/>
          <cell r="C371"/>
        </row>
        <row r="372">
          <cell r="B372"/>
          <cell r="C372"/>
        </row>
        <row r="373">
          <cell r="B373"/>
          <cell r="C373"/>
        </row>
        <row r="374">
          <cell r="B374"/>
          <cell r="C374"/>
        </row>
        <row r="375">
          <cell r="B375"/>
          <cell r="C375"/>
        </row>
        <row r="376">
          <cell r="B376"/>
          <cell r="C376"/>
        </row>
        <row r="377">
          <cell r="B377"/>
          <cell r="C377"/>
        </row>
        <row r="378">
          <cell r="B378"/>
          <cell r="C378"/>
        </row>
        <row r="379">
          <cell r="B379"/>
          <cell r="C379"/>
        </row>
        <row r="380">
          <cell r="B380"/>
          <cell r="C380"/>
        </row>
        <row r="381">
          <cell r="B381"/>
          <cell r="C381"/>
        </row>
        <row r="382">
          <cell r="B382"/>
          <cell r="C382"/>
        </row>
        <row r="383">
          <cell r="B383"/>
          <cell r="C383"/>
        </row>
        <row r="384">
          <cell r="B384"/>
          <cell r="C384"/>
        </row>
        <row r="385">
          <cell r="B385"/>
          <cell r="C385"/>
        </row>
        <row r="386">
          <cell r="B386"/>
          <cell r="C386"/>
        </row>
        <row r="387">
          <cell r="B387"/>
          <cell r="C387"/>
        </row>
        <row r="388">
          <cell r="B388"/>
          <cell r="C388"/>
        </row>
        <row r="389">
          <cell r="B389"/>
          <cell r="C389"/>
        </row>
        <row r="390">
          <cell r="B390"/>
          <cell r="C390"/>
        </row>
        <row r="391">
          <cell r="B391"/>
          <cell r="C391"/>
        </row>
        <row r="392">
          <cell r="B392"/>
          <cell r="C392"/>
        </row>
        <row r="393">
          <cell r="B393"/>
          <cell r="C393"/>
        </row>
        <row r="394">
          <cell r="B394"/>
          <cell r="C394"/>
        </row>
        <row r="395">
          <cell r="B395"/>
          <cell r="C395"/>
        </row>
        <row r="396">
          <cell r="B396"/>
          <cell r="C396"/>
        </row>
        <row r="397">
          <cell r="B397"/>
          <cell r="C397"/>
        </row>
        <row r="398">
          <cell r="B398"/>
          <cell r="C398"/>
        </row>
        <row r="399">
          <cell r="B399"/>
          <cell r="C399"/>
        </row>
        <row r="400">
          <cell r="B400"/>
          <cell r="C400"/>
        </row>
        <row r="401">
          <cell r="B401"/>
          <cell r="C401"/>
        </row>
        <row r="402">
          <cell r="B402"/>
          <cell r="C402"/>
        </row>
        <row r="403">
          <cell r="B403"/>
          <cell r="C403"/>
        </row>
        <row r="404">
          <cell r="B404"/>
          <cell r="C404"/>
        </row>
        <row r="405">
          <cell r="B405"/>
          <cell r="C405"/>
        </row>
        <row r="406">
          <cell r="B406"/>
          <cell r="C406"/>
        </row>
        <row r="407">
          <cell r="B407"/>
          <cell r="C407"/>
        </row>
        <row r="408">
          <cell r="B408"/>
          <cell r="C408"/>
        </row>
        <row r="409">
          <cell r="B409"/>
          <cell r="C409"/>
        </row>
        <row r="410">
          <cell r="B410"/>
          <cell r="C410"/>
        </row>
        <row r="411">
          <cell r="B411"/>
          <cell r="C411"/>
        </row>
        <row r="412">
          <cell r="B412"/>
          <cell r="C412"/>
        </row>
        <row r="413">
          <cell r="B413"/>
          <cell r="C413"/>
        </row>
        <row r="414">
          <cell r="B414"/>
          <cell r="C414"/>
        </row>
        <row r="415">
          <cell r="B415"/>
          <cell r="C415"/>
        </row>
        <row r="416">
          <cell r="B416"/>
          <cell r="C416"/>
        </row>
        <row r="417">
          <cell r="B417"/>
          <cell r="C417"/>
        </row>
        <row r="418">
          <cell r="B418"/>
          <cell r="C418"/>
        </row>
        <row r="419">
          <cell r="B419"/>
          <cell r="C419"/>
        </row>
        <row r="420">
          <cell r="B420"/>
          <cell r="C420"/>
        </row>
        <row r="421">
          <cell r="B421"/>
          <cell r="C421"/>
        </row>
        <row r="422">
          <cell r="B422"/>
          <cell r="C422"/>
        </row>
        <row r="423">
          <cell r="B423"/>
          <cell r="C423"/>
        </row>
        <row r="424">
          <cell r="B424"/>
          <cell r="C424"/>
        </row>
        <row r="425">
          <cell r="B425"/>
          <cell r="C425"/>
        </row>
        <row r="426">
          <cell r="B426"/>
          <cell r="C426"/>
        </row>
        <row r="427">
          <cell r="B427"/>
          <cell r="C427"/>
        </row>
        <row r="428">
          <cell r="B428"/>
          <cell r="C428"/>
        </row>
        <row r="429">
          <cell r="B429"/>
          <cell r="C429"/>
        </row>
        <row r="430">
          <cell r="B430"/>
          <cell r="C430"/>
        </row>
        <row r="431">
          <cell r="B431"/>
          <cell r="C431"/>
        </row>
        <row r="432">
          <cell r="B432"/>
          <cell r="C432"/>
        </row>
        <row r="433">
          <cell r="B433"/>
          <cell r="C433"/>
        </row>
        <row r="434">
          <cell r="B434"/>
          <cell r="C434"/>
        </row>
        <row r="435">
          <cell r="B435"/>
          <cell r="C435"/>
        </row>
        <row r="436">
          <cell r="B436"/>
          <cell r="C436"/>
        </row>
        <row r="437">
          <cell r="B437"/>
          <cell r="C437"/>
        </row>
        <row r="438">
          <cell r="B438"/>
          <cell r="C438"/>
        </row>
        <row r="439">
          <cell r="B439"/>
          <cell r="C439"/>
        </row>
        <row r="440">
          <cell r="B440"/>
          <cell r="C440"/>
        </row>
        <row r="441">
          <cell r="B441"/>
          <cell r="C441"/>
        </row>
        <row r="442">
          <cell r="B442"/>
          <cell r="C442"/>
        </row>
        <row r="443">
          <cell r="B443"/>
          <cell r="C443"/>
        </row>
        <row r="444">
          <cell r="B444"/>
          <cell r="C444"/>
        </row>
        <row r="445">
          <cell r="B445"/>
          <cell r="C445"/>
        </row>
        <row r="446">
          <cell r="B446"/>
          <cell r="C446"/>
        </row>
        <row r="447">
          <cell r="B447"/>
          <cell r="C447"/>
        </row>
        <row r="448">
          <cell r="B448"/>
          <cell r="C448"/>
        </row>
        <row r="449">
          <cell r="B449"/>
          <cell r="C449"/>
        </row>
        <row r="450">
          <cell r="B450"/>
          <cell r="C450"/>
        </row>
        <row r="451">
          <cell r="B451"/>
          <cell r="C451"/>
        </row>
        <row r="452">
          <cell r="B452"/>
          <cell r="C452"/>
        </row>
        <row r="453">
          <cell r="B453"/>
          <cell r="C453"/>
        </row>
        <row r="454">
          <cell r="B454"/>
          <cell r="C454"/>
        </row>
        <row r="455">
          <cell r="B455"/>
          <cell r="C455"/>
        </row>
        <row r="456">
          <cell r="B456"/>
          <cell r="C456"/>
        </row>
        <row r="457">
          <cell r="B457"/>
          <cell r="C457"/>
        </row>
        <row r="458">
          <cell r="B458"/>
          <cell r="C458"/>
        </row>
        <row r="459">
          <cell r="B459"/>
          <cell r="C459"/>
        </row>
        <row r="460">
          <cell r="B460"/>
          <cell r="C460"/>
        </row>
        <row r="461">
          <cell r="B461"/>
          <cell r="C461"/>
        </row>
        <row r="462">
          <cell r="B462"/>
          <cell r="C462"/>
        </row>
        <row r="463">
          <cell r="B463"/>
          <cell r="C463"/>
        </row>
        <row r="464">
          <cell r="B464"/>
          <cell r="C464"/>
        </row>
        <row r="465">
          <cell r="B465"/>
          <cell r="C465"/>
        </row>
        <row r="466">
          <cell r="B466"/>
          <cell r="C466"/>
        </row>
        <row r="467">
          <cell r="B467"/>
          <cell r="C467"/>
        </row>
        <row r="468">
          <cell r="B468"/>
          <cell r="C468"/>
        </row>
        <row r="469">
          <cell r="B469"/>
          <cell r="C469"/>
        </row>
        <row r="470">
          <cell r="B470"/>
          <cell r="C470"/>
        </row>
        <row r="471">
          <cell r="B471"/>
          <cell r="C471"/>
        </row>
        <row r="472">
          <cell r="B472"/>
          <cell r="C472"/>
        </row>
        <row r="473">
          <cell r="B473"/>
          <cell r="C473"/>
        </row>
        <row r="474">
          <cell r="B474"/>
          <cell r="C474"/>
        </row>
        <row r="475">
          <cell r="B475"/>
          <cell r="C475"/>
        </row>
        <row r="476">
          <cell r="B476"/>
          <cell r="C476"/>
        </row>
        <row r="477">
          <cell r="B477"/>
          <cell r="C477"/>
        </row>
        <row r="478">
          <cell r="B478"/>
          <cell r="C478"/>
        </row>
        <row r="479">
          <cell r="B479"/>
          <cell r="C479"/>
        </row>
        <row r="480">
          <cell r="B480"/>
          <cell r="C480"/>
        </row>
        <row r="481">
          <cell r="B481"/>
          <cell r="C481"/>
        </row>
        <row r="482">
          <cell r="B482"/>
          <cell r="C482"/>
        </row>
        <row r="483">
          <cell r="B483"/>
          <cell r="C483"/>
        </row>
        <row r="484">
          <cell r="B484"/>
          <cell r="C484"/>
        </row>
        <row r="485">
          <cell r="B485"/>
          <cell r="C485"/>
        </row>
        <row r="486">
          <cell r="B486"/>
          <cell r="C486"/>
        </row>
        <row r="487">
          <cell r="B487"/>
          <cell r="C487"/>
        </row>
        <row r="488">
          <cell r="B488"/>
          <cell r="C488"/>
        </row>
        <row r="489">
          <cell r="B489"/>
          <cell r="C489"/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A14D-27E0-4AC8-8186-3DF4BE012C4E}">
  <dimension ref="B3:J41"/>
  <sheetViews>
    <sheetView showGridLines="0" topLeftCell="A23" zoomScale="90" zoomScaleNormal="90" workbookViewId="0">
      <selection activeCell="H4" sqref="H4:J41"/>
    </sheetView>
  </sheetViews>
  <sheetFormatPr defaultRowHeight="14.4" x14ac:dyDescent="0.3"/>
  <cols>
    <col min="2" max="2" width="31.5546875" bestFit="1" customWidth="1"/>
    <col min="3" max="3" width="8.88671875" customWidth="1"/>
    <col min="4" max="4" width="19.21875" bestFit="1" customWidth="1"/>
    <col min="8" max="8" width="36.21875" customWidth="1"/>
    <col min="9" max="9" width="15.6640625" customWidth="1"/>
    <col min="10" max="10" width="19.21875" bestFit="1" customWidth="1"/>
  </cols>
  <sheetData>
    <row r="3" spans="2:10" x14ac:dyDescent="0.3">
      <c r="B3" s="1"/>
    </row>
    <row r="4" spans="2:10" ht="15.6" x14ac:dyDescent="0.3">
      <c r="B4" s="1"/>
      <c r="C4" s="10" t="s">
        <v>14</v>
      </c>
      <c r="D4" s="10"/>
      <c r="H4" s="8" t="s">
        <v>40</v>
      </c>
      <c r="I4" s="12" t="s">
        <v>37</v>
      </c>
      <c r="J4" s="12"/>
    </row>
    <row r="5" spans="2:10" x14ac:dyDescent="0.3">
      <c r="B5" s="3" t="s">
        <v>0</v>
      </c>
      <c r="C5" s="3" t="s">
        <v>19</v>
      </c>
      <c r="D5" s="3" t="s">
        <v>20</v>
      </c>
      <c r="H5" s="3" t="s">
        <v>38</v>
      </c>
      <c r="I5" s="3" t="s">
        <v>19</v>
      </c>
      <c r="J5" s="3" t="s">
        <v>20</v>
      </c>
    </row>
    <row r="6" spans="2:10" x14ac:dyDescent="0.3">
      <c r="B6" s="2" t="s">
        <v>15</v>
      </c>
      <c r="C6" s="5">
        <v>45</v>
      </c>
      <c r="D6" s="5">
        <v>0.63500000000000001</v>
      </c>
      <c r="H6" s="2" t="s">
        <v>48</v>
      </c>
      <c r="I6" s="4">
        <v>44.017109926768896</v>
      </c>
      <c r="J6" s="4">
        <v>0.621</v>
      </c>
    </row>
    <row r="7" spans="2:10" x14ac:dyDescent="0.3">
      <c r="B7" s="2" t="s">
        <v>16</v>
      </c>
      <c r="C7" s="5">
        <v>20</v>
      </c>
      <c r="D7" s="5">
        <v>0.51</v>
      </c>
      <c r="H7" s="2" t="s">
        <v>49</v>
      </c>
      <c r="I7" s="4">
        <v>20</v>
      </c>
      <c r="J7" s="4">
        <v>0.51</v>
      </c>
    </row>
    <row r="8" spans="2:10" x14ac:dyDescent="0.3">
      <c r="B8" s="2" t="s">
        <v>1</v>
      </c>
      <c r="C8" s="5">
        <v>2</v>
      </c>
      <c r="D8" s="5">
        <v>0.09</v>
      </c>
      <c r="H8" s="2" t="s">
        <v>50</v>
      </c>
      <c r="I8" s="4">
        <v>17.239668301726095</v>
      </c>
      <c r="J8" s="4">
        <v>0.64900000000000002</v>
      </c>
    </row>
    <row r="9" spans="2:10" x14ac:dyDescent="0.3">
      <c r="B9" s="2" t="s">
        <v>2</v>
      </c>
      <c r="C9" s="5">
        <v>1.236</v>
      </c>
      <c r="D9" s="5">
        <v>3.1E-2</v>
      </c>
      <c r="H9" s="2" t="s">
        <v>42</v>
      </c>
      <c r="I9" s="4">
        <v>10</v>
      </c>
      <c r="J9" s="4">
        <v>1</v>
      </c>
    </row>
    <row r="10" spans="2:10" x14ac:dyDescent="0.3">
      <c r="B10" s="2" t="s">
        <v>3</v>
      </c>
      <c r="C10" s="5">
        <v>0.14099999999999999</v>
      </c>
      <c r="D10" s="5">
        <v>3.4000000000000002E-2</v>
      </c>
      <c r="H10" s="2" t="s">
        <v>43</v>
      </c>
      <c r="I10" s="4">
        <v>1.9395156618404672</v>
      </c>
      <c r="J10" s="4">
        <v>0.20399999999999999</v>
      </c>
    </row>
    <row r="11" spans="2:10" x14ac:dyDescent="0.3">
      <c r="B11" s="2" t="s">
        <v>4</v>
      </c>
      <c r="C11" s="5">
        <v>0.02</v>
      </c>
      <c r="D11" s="5">
        <v>1.0999999999999999E-2</v>
      </c>
      <c r="H11" s="2" t="s">
        <v>44</v>
      </c>
      <c r="I11" s="4">
        <v>1.2408314690919264</v>
      </c>
      <c r="J11" s="4">
        <v>3.1E-2</v>
      </c>
    </row>
    <row r="12" spans="2:10" x14ac:dyDescent="0.3">
      <c r="B12" s="2" t="s">
        <v>5</v>
      </c>
      <c r="C12" s="5">
        <v>9.2999999999999999E-2</v>
      </c>
      <c r="D12" s="5">
        <v>1.7999999999999999E-2</v>
      </c>
      <c r="H12" s="2" t="s">
        <v>45</v>
      </c>
      <c r="I12" s="4">
        <v>0.62394540958826528</v>
      </c>
      <c r="J12" s="4">
        <v>4.3999999999999997E-2</v>
      </c>
    </row>
    <row r="13" spans="2:10" x14ac:dyDescent="0.3">
      <c r="B13" s="2" t="s">
        <v>6</v>
      </c>
      <c r="C13" s="5">
        <v>0.1</v>
      </c>
      <c r="D13" s="5">
        <v>1.4E-2</v>
      </c>
      <c r="H13" s="2" t="s">
        <v>46</v>
      </c>
      <c r="I13" s="4">
        <v>0.5</v>
      </c>
      <c r="J13" s="4">
        <v>0.10455</v>
      </c>
    </row>
    <row r="14" spans="2:10" x14ac:dyDescent="0.3">
      <c r="B14" s="2" t="s">
        <v>17</v>
      </c>
      <c r="C14" s="5">
        <v>1</v>
      </c>
      <c r="D14" s="5">
        <v>0.14499999999999999</v>
      </c>
      <c r="H14" s="2" t="s">
        <v>51</v>
      </c>
      <c r="I14" s="4">
        <v>0.5</v>
      </c>
      <c r="J14" s="4">
        <v>7.2499999999999995E-2</v>
      </c>
    </row>
    <row r="15" spans="2:10" x14ac:dyDescent="0.3">
      <c r="B15" s="2" t="s">
        <v>7</v>
      </c>
      <c r="C15" s="5">
        <v>1</v>
      </c>
      <c r="D15" s="5">
        <v>0.21</v>
      </c>
      <c r="H15" s="2" t="s">
        <v>52</v>
      </c>
      <c r="I15" s="4">
        <v>0.31184193261088244</v>
      </c>
      <c r="J15" s="4">
        <v>0.109</v>
      </c>
    </row>
    <row r="16" spans="2:10" x14ac:dyDescent="0.3">
      <c r="B16" s="2" t="s">
        <v>8</v>
      </c>
      <c r="C16" s="5">
        <v>1.4999999999999999E-2</v>
      </c>
      <c r="D16" s="5">
        <v>5.0000000000000001E-3</v>
      </c>
      <c r="H16" s="2" t="s">
        <v>47</v>
      </c>
      <c r="I16" s="4">
        <v>0.28106597129201316</v>
      </c>
      <c r="J16" s="4">
        <v>1E-3</v>
      </c>
    </row>
    <row r="17" spans="2:10" x14ac:dyDescent="0.3">
      <c r="B17" s="2" t="s">
        <v>9</v>
      </c>
      <c r="C17" s="5">
        <v>7</v>
      </c>
      <c r="D17" s="5">
        <v>0.7</v>
      </c>
      <c r="H17" s="2" t="s">
        <v>35</v>
      </c>
      <c r="I17" s="4">
        <v>0.11627834202021835</v>
      </c>
      <c r="J17" s="4">
        <v>2.8000000000000001E-2</v>
      </c>
    </row>
    <row r="18" spans="2:10" x14ac:dyDescent="0.3">
      <c r="B18" s="2" t="s">
        <v>18</v>
      </c>
      <c r="C18" s="5">
        <v>12.864000000000001</v>
      </c>
      <c r="D18" s="5">
        <v>0.48399999999999999</v>
      </c>
      <c r="H18" s="2" t="s">
        <v>53</v>
      </c>
      <c r="I18" s="4">
        <v>0.1</v>
      </c>
      <c r="J18" s="4">
        <v>1.4E-2</v>
      </c>
    </row>
    <row r="19" spans="2:10" x14ac:dyDescent="0.3">
      <c r="B19" s="2" t="s">
        <v>10</v>
      </c>
      <c r="C19" s="5">
        <v>3.35</v>
      </c>
      <c r="D19" s="5">
        <v>1.4999999999999999E-2</v>
      </c>
      <c r="H19" s="2" t="s">
        <v>54</v>
      </c>
      <c r="I19" s="4">
        <v>3</v>
      </c>
      <c r="J19" s="4">
        <v>8.5500000000000007E-2</v>
      </c>
    </row>
    <row r="20" spans="2:10" x14ac:dyDescent="0.3">
      <c r="B20" s="2" t="s">
        <v>11</v>
      </c>
      <c r="C20" s="5">
        <v>2.0760000000000001</v>
      </c>
      <c r="D20" s="5">
        <v>0.218</v>
      </c>
      <c r="H20" s="2" t="s">
        <v>55</v>
      </c>
      <c r="I20" s="4">
        <v>9.4978197260452174E-2</v>
      </c>
      <c r="J20" s="4">
        <v>1.9E-2</v>
      </c>
    </row>
    <row r="21" spans="2:10" x14ac:dyDescent="0.3">
      <c r="B21" s="2" t="s">
        <v>12</v>
      </c>
      <c r="C21" s="5">
        <v>3.6760000000000002</v>
      </c>
      <c r="D21" s="5">
        <v>0.25700000000000001</v>
      </c>
      <c r="H21" s="2" t="s">
        <v>56</v>
      </c>
      <c r="I21" s="4">
        <v>1.4999999999999999E-2</v>
      </c>
      <c r="J21" s="4">
        <v>5.2499999999999995E-3</v>
      </c>
    </row>
    <row r="22" spans="2:10" x14ac:dyDescent="0.3">
      <c r="B22" s="2" t="s">
        <v>13</v>
      </c>
      <c r="C22" s="5">
        <v>1.4999999999999999E-2</v>
      </c>
      <c r="D22" s="5">
        <v>3.0000000000000001E-3</v>
      </c>
      <c r="H22" s="2" t="s">
        <v>39</v>
      </c>
      <c r="I22" s="4">
        <v>1.4999999999999999E-2</v>
      </c>
      <c r="J22" s="4">
        <v>2.5000000000000001E-3</v>
      </c>
    </row>
    <row r="23" spans="2:10" x14ac:dyDescent="0.3">
      <c r="B23" s="2" t="s">
        <v>21</v>
      </c>
      <c r="C23" s="5">
        <f>SUM(C6:C22)</f>
        <v>99.585999999999999</v>
      </c>
      <c r="D23" s="5">
        <f>SUM(D6:D22)</f>
        <v>3.38</v>
      </c>
      <c r="H23" s="2" t="s">
        <v>36</v>
      </c>
      <c r="I23" s="4">
        <v>4.7647878008049141E-3</v>
      </c>
      <c r="J23" s="4">
        <v>3.0000000000000001E-3</v>
      </c>
    </row>
    <row r="24" spans="2:10" x14ac:dyDescent="0.3">
      <c r="B24" s="2"/>
      <c r="C24" s="5"/>
      <c r="D24" s="5"/>
      <c r="H24" s="2" t="s">
        <v>21</v>
      </c>
      <c r="I24" s="4">
        <f>SUM(I6:I23)</f>
        <v>100.00000000000003</v>
      </c>
      <c r="J24" s="4">
        <f>SUM(J6:J23)</f>
        <v>3.5033000000000007</v>
      </c>
    </row>
    <row r="25" spans="2:10" x14ac:dyDescent="0.3">
      <c r="B25" s="11" t="s">
        <v>22</v>
      </c>
      <c r="C25" s="11"/>
      <c r="D25" s="11"/>
      <c r="H25" s="11" t="s">
        <v>22</v>
      </c>
      <c r="I25" s="11"/>
      <c r="J25" s="11"/>
    </row>
    <row r="26" spans="2:10" x14ac:dyDescent="0.3">
      <c r="B26" s="2" t="s">
        <v>23</v>
      </c>
      <c r="C26" s="6">
        <v>3400</v>
      </c>
      <c r="D26" s="6"/>
      <c r="H26" s="2" t="s">
        <v>23</v>
      </c>
      <c r="I26" s="6">
        <v>3400</v>
      </c>
      <c r="J26" s="6"/>
    </row>
    <row r="27" spans="2:10" x14ac:dyDescent="0.3">
      <c r="B27" s="2" t="s">
        <v>24</v>
      </c>
      <c r="C27" s="7">
        <v>21.43</v>
      </c>
      <c r="D27" s="6"/>
      <c r="H27" s="2" t="s">
        <v>24</v>
      </c>
      <c r="I27" s="7">
        <v>21.43</v>
      </c>
      <c r="J27" s="6"/>
    </row>
    <row r="28" spans="2:10" x14ac:dyDescent="0.3">
      <c r="B28" s="2" t="s">
        <v>25</v>
      </c>
      <c r="C28" s="7">
        <v>2.0979999999999999</v>
      </c>
      <c r="D28" s="6"/>
      <c r="H28" s="2" t="s">
        <v>25</v>
      </c>
      <c r="I28" s="7">
        <v>2.0979999999999999</v>
      </c>
      <c r="J28" s="6"/>
    </row>
    <row r="29" spans="2:10" x14ac:dyDescent="0.3">
      <c r="B29" s="2" t="s">
        <v>26</v>
      </c>
      <c r="C29" s="7">
        <v>4.8949999999999996</v>
      </c>
      <c r="D29" s="6"/>
      <c r="H29" s="2" t="s">
        <v>26</v>
      </c>
      <c r="I29" s="7">
        <v>5.7510000000000003</v>
      </c>
      <c r="J29" s="6"/>
    </row>
    <row r="30" spans="2:10" x14ac:dyDescent="0.3">
      <c r="B30" s="2" t="s">
        <v>27</v>
      </c>
      <c r="C30" s="7"/>
      <c r="D30" s="6"/>
      <c r="H30" s="2" t="s">
        <v>27</v>
      </c>
      <c r="I30" s="7"/>
      <c r="J30" s="6"/>
    </row>
    <row r="31" spans="2:10" x14ac:dyDescent="0.3">
      <c r="B31" s="2" t="s">
        <v>28</v>
      </c>
      <c r="C31" s="7">
        <v>1.4510000000000001</v>
      </c>
      <c r="D31" s="6"/>
      <c r="H31" s="2" t="s">
        <v>28</v>
      </c>
      <c r="I31" s="7">
        <v>1.4510000000000001</v>
      </c>
      <c r="J31" s="6"/>
    </row>
    <row r="32" spans="2:10" x14ac:dyDescent="0.3">
      <c r="B32" s="2" t="s">
        <v>29</v>
      </c>
      <c r="C32" s="7">
        <v>0.40600000000000003</v>
      </c>
      <c r="D32" s="6"/>
      <c r="H32" s="2" t="s">
        <v>29</v>
      </c>
      <c r="I32" s="7">
        <v>0.40600000000000003</v>
      </c>
      <c r="J32" s="6"/>
    </row>
    <row r="33" spans="2:10" x14ac:dyDescent="0.3">
      <c r="B33" s="2" t="s">
        <v>30</v>
      </c>
      <c r="C33" s="7">
        <v>0.97199999999999998</v>
      </c>
      <c r="D33" s="6"/>
      <c r="H33" s="2" t="s">
        <v>30</v>
      </c>
      <c r="I33" s="7">
        <v>0.97199999999999998</v>
      </c>
      <c r="J33" s="6"/>
    </row>
    <row r="34" spans="2:10" x14ac:dyDescent="0.3">
      <c r="B34" s="2" t="s">
        <v>31</v>
      </c>
      <c r="C34" s="7">
        <v>0.27600000000000002</v>
      </c>
      <c r="D34" s="6"/>
      <c r="H34" s="2" t="s">
        <v>31</v>
      </c>
      <c r="I34" s="7">
        <v>0.27600000000000002</v>
      </c>
      <c r="J34" s="6"/>
    </row>
    <row r="35" spans="2:10" x14ac:dyDescent="0.3">
      <c r="B35" s="2" t="s">
        <v>32</v>
      </c>
      <c r="C35" s="7">
        <v>1.0680000000000001</v>
      </c>
      <c r="D35" s="6"/>
      <c r="H35" s="2" t="s">
        <v>32</v>
      </c>
      <c r="I35" s="7">
        <v>1.0680000000000001</v>
      </c>
      <c r="J35" s="6"/>
    </row>
    <row r="36" spans="2:10" x14ac:dyDescent="0.3">
      <c r="B36" s="2" t="s">
        <v>33</v>
      </c>
      <c r="C36" s="7">
        <v>0.224</v>
      </c>
      <c r="D36" s="6"/>
      <c r="H36" s="2" t="s">
        <v>33</v>
      </c>
      <c r="I36" s="7">
        <v>0.224</v>
      </c>
      <c r="J36" s="6"/>
    </row>
    <row r="37" spans="2:10" x14ac:dyDescent="0.3">
      <c r="B37" s="2" t="s">
        <v>34</v>
      </c>
      <c r="C37" s="7"/>
      <c r="D37" s="7">
        <f>D23</f>
        <v>3.38</v>
      </c>
      <c r="H37" s="2" t="s">
        <v>34</v>
      </c>
      <c r="I37" s="7"/>
      <c r="J37" s="7">
        <f>J24</f>
        <v>3.5033000000000007</v>
      </c>
    </row>
    <row r="38" spans="2:10" ht="33" customHeight="1" x14ac:dyDescent="0.3">
      <c r="H38" s="9" t="s">
        <v>63</v>
      </c>
      <c r="I38" s="9"/>
      <c r="J38" s="9"/>
    </row>
    <row r="39" spans="2:10" ht="64.8" customHeight="1" x14ac:dyDescent="0.3">
      <c r="H39" s="9" t="s">
        <v>61</v>
      </c>
      <c r="I39" s="9"/>
      <c r="J39" s="9"/>
    </row>
    <row r="40" spans="2:10" ht="29.4" customHeight="1" x14ac:dyDescent="0.3">
      <c r="H40" s="9" t="s">
        <v>62</v>
      </c>
      <c r="I40" s="9"/>
      <c r="J40" s="9"/>
    </row>
    <row r="41" spans="2:10" ht="27.6" customHeight="1" x14ac:dyDescent="0.3">
      <c r="H41" s="9" t="s">
        <v>64</v>
      </c>
      <c r="I41" s="9"/>
      <c r="J41" s="9"/>
    </row>
  </sheetData>
  <mergeCells count="8">
    <mergeCell ref="H41:J41"/>
    <mergeCell ref="H40:J40"/>
    <mergeCell ref="H38:J38"/>
    <mergeCell ref="H39:J39"/>
    <mergeCell ref="C4:D4"/>
    <mergeCell ref="B25:D25"/>
    <mergeCell ref="I4:J4"/>
    <mergeCell ref="H25:J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A13D-BA0C-43CF-9E79-B8AF8C48D393}">
  <dimension ref="C3:E40"/>
  <sheetViews>
    <sheetView showGridLines="0" tabSelected="1" topLeftCell="B27" workbookViewId="0">
      <selection activeCell="C3" sqref="C3:E40"/>
    </sheetView>
  </sheetViews>
  <sheetFormatPr defaultRowHeight="14.4" x14ac:dyDescent="0.3"/>
  <cols>
    <col min="3" max="3" width="41.6640625" customWidth="1"/>
    <col min="4" max="5" width="20.33203125" customWidth="1"/>
  </cols>
  <sheetData>
    <row r="3" spans="3:5" ht="15.6" x14ac:dyDescent="0.3">
      <c r="C3" s="8" t="s">
        <v>41</v>
      </c>
      <c r="D3" s="12" t="s">
        <v>37</v>
      </c>
      <c r="E3" s="12"/>
    </row>
    <row r="4" spans="3:5" x14ac:dyDescent="0.3">
      <c r="C4" s="3" t="s">
        <v>38</v>
      </c>
      <c r="D4" s="3" t="s">
        <v>19</v>
      </c>
      <c r="E4" s="3" t="s">
        <v>20</v>
      </c>
    </row>
    <row r="5" spans="3:5" x14ac:dyDescent="0.3">
      <c r="C5" s="2" t="s">
        <v>48</v>
      </c>
      <c r="D5" s="4">
        <v>48.205268696060052</v>
      </c>
      <c r="E5" s="4">
        <v>0.6796942886144467</v>
      </c>
    </row>
    <row r="6" spans="3:5" x14ac:dyDescent="0.3">
      <c r="C6" s="2" t="s">
        <v>57</v>
      </c>
      <c r="D6" s="4">
        <v>20</v>
      </c>
      <c r="E6" s="4">
        <v>0.2</v>
      </c>
    </row>
    <row r="7" spans="3:5" x14ac:dyDescent="0.3">
      <c r="C7" s="2" t="s">
        <v>58</v>
      </c>
      <c r="D7" s="4">
        <v>10</v>
      </c>
      <c r="E7" s="4">
        <v>8.0000000000000016E-2</v>
      </c>
    </row>
    <row r="8" spans="3:5" x14ac:dyDescent="0.3">
      <c r="C8" s="2" t="s">
        <v>59</v>
      </c>
      <c r="D8" s="4">
        <v>10</v>
      </c>
      <c r="E8" s="4">
        <v>0.05</v>
      </c>
    </row>
    <row r="9" spans="3:5" x14ac:dyDescent="0.3">
      <c r="C9" s="2" t="s">
        <v>60</v>
      </c>
      <c r="D9" s="4">
        <v>4.0118014659607146</v>
      </c>
      <c r="E9" s="4">
        <v>0.1364012498426643</v>
      </c>
    </row>
    <row r="10" spans="3:5" x14ac:dyDescent="0.3">
      <c r="C10" s="2" t="s">
        <v>49</v>
      </c>
      <c r="D10" s="4">
        <v>3.9838819716069778</v>
      </c>
      <c r="E10" s="4">
        <v>0.10158899027597793</v>
      </c>
    </row>
    <row r="11" spans="3:5" x14ac:dyDescent="0.3">
      <c r="C11" s="2" t="s">
        <v>45</v>
      </c>
      <c r="D11" s="4">
        <v>1.0676945040322636</v>
      </c>
      <c r="E11" s="4">
        <v>7.4738615282258447E-2</v>
      </c>
    </row>
    <row r="12" spans="3:5" x14ac:dyDescent="0.3">
      <c r="C12" s="2" t="s">
        <v>65</v>
      </c>
      <c r="D12" s="4">
        <v>1</v>
      </c>
      <c r="E12" s="4">
        <v>2.8500000000000001E-2</v>
      </c>
    </row>
    <row r="13" spans="3:5" x14ac:dyDescent="0.3">
      <c r="C13" s="2" t="s">
        <v>66</v>
      </c>
      <c r="D13" s="4">
        <v>0.63725257278633229</v>
      </c>
      <c r="E13" s="4">
        <v>0.22303840047521631</v>
      </c>
    </row>
    <row r="14" spans="3:5" x14ac:dyDescent="0.3">
      <c r="C14" s="2" t="s">
        <v>47</v>
      </c>
      <c r="D14" s="4">
        <v>0.27226201765183106</v>
      </c>
      <c r="E14" s="4">
        <v>1.2251790794332398E-3</v>
      </c>
    </row>
    <row r="15" spans="3:5" x14ac:dyDescent="0.3">
      <c r="C15" s="2" t="s">
        <v>44</v>
      </c>
      <c r="D15" s="4">
        <v>0.2252746490770911</v>
      </c>
      <c r="E15" s="4">
        <v>5.6318662269272783E-3</v>
      </c>
    </row>
    <row r="16" spans="3:5" x14ac:dyDescent="0.3">
      <c r="C16" s="2" t="s">
        <v>3</v>
      </c>
      <c r="D16" s="4">
        <v>0.22136930241592101</v>
      </c>
      <c r="E16" s="4">
        <v>5.3128632579821047E-2</v>
      </c>
    </row>
    <row r="17" spans="3:5" x14ac:dyDescent="0.3">
      <c r="C17" s="2" t="s">
        <v>67</v>
      </c>
      <c r="D17" s="4">
        <v>0.1</v>
      </c>
      <c r="E17" s="4">
        <v>0.01</v>
      </c>
    </row>
    <row r="18" spans="3:5" ht="15.6" x14ac:dyDescent="0.3">
      <c r="C18" s="2" t="s">
        <v>70</v>
      </c>
      <c r="D18" s="4">
        <v>0.1</v>
      </c>
      <c r="E18" s="4">
        <v>7.4999999999999997E-3</v>
      </c>
    </row>
    <row r="19" spans="3:5" x14ac:dyDescent="0.3">
      <c r="C19" s="2" t="s">
        <v>68</v>
      </c>
      <c r="D19" s="4">
        <v>8.4330585654318127E-2</v>
      </c>
      <c r="E19" s="4">
        <v>1.6866117130863625E-2</v>
      </c>
    </row>
    <row r="20" spans="3:5" x14ac:dyDescent="0.3">
      <c r="C20" s="2" t="s">
        <v>4</v>
      </c>
      <c r="D20" s="4">
        <v>7.586423475447919E-2</v>
      </c>
      <c r="E20" s="4">
        <v>4.400125615759793E-2</v>
      </c>
    </row>
    <row r="21" spans="3:5" x14ac:dyDescent="0.3">
      <c r="C21" s="2" t="s">
        <v>69</v>
      </c>
      <c r="D21" s="4">
        <v>1.4999999999999999E-2</v>
      </c>
      <c r="E21" s="4">
        <v>5.2499999999999995E-3</v>
      </c>
    </row>
    <row r="22" spans="3:5" x14ac:dyDescent="0.3">
      <c r="C22" s="2" t="s">
        <v>21</v>
      </c>
      <c r="D22" s="4">
        <f>SUM(D5:D21)</f>
        <v>99.999999999999957</v>
      </c>
      <c r="E22" s="4">
        <f>SUM(E5:E21)</f>
        <v>1.7175645956652072</v>
      </c>
    </row>
    <row r="23" spans="3:5" x14ac:dyDescent="0.3">
      <c r="C23" s="11" t="s">
        <v>22</v>
      </c>
      <c r="D23" s="11"/>
      <c r="E23" s="11"/>
    </row>
    <row r="24" spans="3:5" x14ac:dyDescent="0.3">
      <c r="C24" s="2" t="s">
        <v>23</v>
      </c>
      <c r="D24" s="6">
        <v>3350</v>
      </c>
      <c r="E24" s="6"/>
    </row>
    <row r="25" spans="3:5" x14ac:dyDescent="0.3">
      <c r="C25" s="2" t="s">
        <v>24</v>
      </c>
      <c r="D25" s="7">
        <v>11.5</v>
      </c>
      <c r="E25" s="6"/>
    </row>
    <row r="26" spans="3:5" x14ac:dyDescent="0.3">
      <c r="C26" s="2" t="s">
        <v>25</v>
      </c>
      <c r="D26" s="7">
        <v>1.963567812261938</v>
      </c>
      <c r="E26" s="6"/>
    </row>
    <row r="27" spans="3:5" x14ac:dyDescent="0.3">
      <c r="C27" s="2" t="s">
        <v>26</v>
      </c>
      <c r="D27" s="7">
        <v>3.9827462146134311</v>
      </c>
      <c r="E27" s="6"/>
    </row>
    <row r="28" spans="3:5" x14ac:dyDescent="0.3">
      <c r="C28" s="2" t="s">
        <v>27</v>
      </c>
      <c r="D28" s="7"/>
      <c r="E28" s="6"/>
    </row>
    <row r="29" spans="3:5" x14ac:dyDescent="0.3">
      <c r="C29" s="2" t="s">
        <v>28</v>
      </c>
      <c r="D29" s="7">
        <v>0.91500000000000004</v>
      </c>
      <c r="E29" s="6"/>
    </row>
    <row r="30" spans="3:5" x14ac:dyDescent="0.3">
      <c r="C30" s="2" t="s">
        <v>29</v>
      </c>
      <c r="D30" s="7">
        <v>0.27400000000000002</v>
      </c>
      <c r="E30" s="6"/>
    </row>
    <row r="31" spans="3:5" x14ac:dyDescent="0.3">
      <c r="C31" s="2" t="s">
        <v>30</v>
      </c>
      <c r="D31" s="7">
        <v>0.622</v>
      </c>
      <c r="E31" s="6"/>
    </row>
    <row r="32" spans="3:5" x14ac:dyDescent="0.3">
      <c r="C32" s="2" t="s">
        <v>31</v>
      </c>
      <c r="D32" s="7">
        <v>0.183</v>
      </c>
      <c r="E32" s="6"/>
    </row>
    <row r="33" spans="3:5" x14ac:dyDescent="0.3">
      <c r="C33" s="2" t="s">
        <v>32</v>
      </c>
      <c r="D33" s="7">
        <v>0.497</v>
      </c>
      <c r="E33" s="6"/>
    </row>
    <row r="34" spans="3:5" x14ac:dyDescent="0.3">
      <c r="C34" s="2" t="s">
        <v>33</v>
      </c>
      <c r="D34" s="7">
        <v>0.16500000000000001</v>
      </c>
      <c r="E34" s="6"/>
    </row>
    <row r="35" spans="3:5" x14ac:dyDescent="0.3">
      <c r="C35" s="2" t="s">
        <v>34</v>
      </c>
      <c r="D35" s="7"/>
      <c r="E35" s="7">
        <f>E22</f>
        <v>1.7175645956652072</v>
      </c>
    </row>
    <row r="36" spans="3:5" ht="47.4" customHeight="1" x14ac:dyDescent="0.3">
      <c r="C36" s="13" t="s">
        <v>63</v>
      </c>
      <c r="D36" s="13"/>
      <c r="E36" s="13"/>
    </row>
    <row r="37" spans="3:5" ht="57" customHeight="1" x14ac:dyDescent="0.3">
      <c r="C37" s="13" t="s">
        <v>61</v>
      </c>
      <c r="D37" s="13"/>
      <c r="E37" s="13"/>
    </row>
    <row r="38" spans="3:5" ht="41.4" customHeight="1" x14ac:dyDescent="0.3">
      <c r="C38" s="13" t="s">
        <v>62</v>
      </c>
      <c r="D38" s="13"/>
      <c r="E38" s="13"/>
    </row>
    <row r="39" spans="3:5" x14ac:dyDescent="0.3">
      <c r="C39" s="13" t="s">
        <v>71</v>
      </c>
      <c r="D39" s="13"/>
      <c r="E39" s="13"/>
    </row>
    <row r="40" spans="3:5" ht="52.2" customHeight="1" x14ac:dyDescent="0.3">
      <c r="C40" s="14" t="s">
        <v>72</v>
      </c>
      <c r="D40" s="14"/>
      <c r="E40" s="14"/>
    </row>
  </sheetData>
  <mergeCells count="7">
    <mergeCell ref="C40:E40"/>
    <mergeCell ref="C39:E39"/>
    <mergeCell ref="D3:E3"/>
    <mergeCell ref="C23:E23"/>
    <mergeCell ref="C36:E36"/>
    <mergeCell ref="C37:E37"/>
    <mergeCell ref="C38:E3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Crescimento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Piologo</dc:creator>
  <cp:lastModifiedBy>Joao Piologo</cp:lastModifiedBy>
  <dcterms:created xsi:type="dcterms:W3CDTF">2022-12-08T01:20:58Z</dcterms:created>
  <dcterms:modified xsi:type="dcterms:W3CDTF">2022-12-14T03:32:30Z</dcterms:modified>
</cp:coreProperties>
</file>