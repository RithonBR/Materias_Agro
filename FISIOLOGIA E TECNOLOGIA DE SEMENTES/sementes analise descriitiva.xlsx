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hon\Desktop\Geral\ufsc 24.1\Fisiologia de sementes\"/>
    </mc:Choice>
  </mc:AlternateContent>
  <xr:revisionPtr revIDLastSave="0" documentId="8_{20CBC19B-5BF0-4E25-BDD9-082E7B208242}" xr6:coauthVersionLast="46" xr6:coauthVersionMax="46" xr10:uidLastSave="{00000000-0000-0000-0000-000000000000}"/>
  <bookViews>
    <workbookView xWindow="17910" yWindow="3450" windowWidth="21600" windowHeight="11385" xr2:uid="{E5B01780-9372-4A36-881F-792F3A2EAAB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1" l="1"/>
  <c r="L15" i="1"/>
  <c r="K15" i="1"/>
  <c r="J15" i="1"/>
  <c r="I15" i="1"/>
  <c r="L14" i="1"/>
  <c r="L16" i="1" s="1"/>
  <c r="K14" i="1"/>
  <c r="J14" i="1"/>
  <c r="J16" i="1" s="1"/>
  <c r="I14" i="1"/>
  <c r="I16" i="1" s="1"/>
  <c r="L13" i="1"/>
  <c r="L18" i="1" s="1"/>
  <c r="K13" i="1"/>
  <c r="K18" i="1" s="1"/>
  <c r="J13" i="1"/>
  <c r="J18" i="1" s="1"/>
  <c r="I13" i="1"/>
  <c r="I18" i="1" s="1"/>
  <c r="L10" i="1"/>
  <c r="K10" i="1"/>
  <c r="J10" i="1"/>
  <c r="I10" i="1"/>
  <c r="L9" i="1"/>
  <c r="K9" i="1"/>
  <c r="J9" i="1"/>
  <c r="I9" i="1"/>
  <c r="L8" i="1"/>
  <c r="K8" i="1"/>
  <c r="J8" i="1"/>
  <c r="I8" i="1"/>
  <c r="C14" i="1"/>
  <c r="D14" i="1"/>
  <c r="E14" i="1"/>
  <c r="C15" i="1"/>
  <c r="D15" i="1"/>
  <c r="E15" i="1"/>
  <c r="E17" i="1" s="1"/>
  <c r="E13" i="1"/>
  <c r="E16" i="1" s="1"/>
  <c r="D13" i="1"/>
  <c r="C13" i="1"/>
  <c r="B14" i="1"/>
  <c r="B15" i="1"/>
  <c r="B13" i="1"/>
  <c r="E18" i="1"/>
  <c r="D18" i="1"/>
  <c r="C18" i="1"/>
  <c r="B18" i="1"/>
  <c r="D17" i="1"/>
  <c r="C17" i="1"/>
  <c r="B17" i="1"/>
  <c r="D16" i="1"/>
  <c r="C16" i="1"/>
  <c r="B16" i="1"/>
  <c r="E10" i="1"/>
  <c r="D10" i="1"/>
  <c r="C10" i="1"/>
  <c r="B10" i="1"/>
  <c r="E9" i="1"/>
  <c r="D9" i="1"/>
  <c r="C9" i="1"/>
  <c r="B9" i="1"/>
  <c r="E8" i="1"/>
  <c r="D8" i="1"/>
  <c r="C8" i="1"/>
  <c r="B8" i="1"/>
  <c r="I17" i="1" l="1"/>
  <c r="J17" i="1"/>
  <c r="K17" i="1"/>
  <c r="L17" i="1"/>
</calcChain>
</file>

<file path=xl/sharedStrings.xml><?xml version="1.0" encoding="utf-8"?>
<sst xmlns="http://schemas.openxmlformats.org/spreadsheetml/2006/main" count="32" uniqueCount="9">
  <si>
    <t>Dourada</t>
  </si>
  <si>
    <t>Marrom</t>
  </si>
  <si>
    <t>Ger</t>
  </si>
  <si>
    <t>normais</t>
  </si>
  <si>
    <t xml:space="preserve">anormais </t>
  </si>
  <si>
    <t>duras e mortas</t>
  </si>
  <si>
    <t>dif</t>
  </si>
  <si>
    <t>med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</si>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</sst>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2E1F-C84A-4EDB-85BC-91D7D84AA2A7}">
  <dimension ref="A4:L18"/>
  <sheetViews>
    <sheetView tabSelected="1" workbookViewId="0">
      <selection activeCell="H23" sqref="H23"/>
    </sheetView>
  </sheetViews>
  <sheetFormatPr defaultRowHeight="15" x14ac:dyDescent="0.25"/>
  <cols>
    <col min="7" max="7" width="14.5703125" bestFit="1" customWidth="1"/>
  </cols>
  <sheetData>
    <row r="4" spans="1:12" x14ac:dyDescent="0.25">
      <c r="A4" t="s">
        <v>0</v>
      </c>
      <c r="B4" t="s">
        <v>2</v>
      </c>
      <c r="C4" t="s">
        <v>3</v>
      </c>
      <c r="D4" t="s">
        <v>4</v>
      </c>
      <c r="E4" t="s">
        <v>5</v>
      </c>
      <c r="H4" t="s">
        <v>1</v>
      </c>
      <c r="I4" t="s">
        <v>2</v>
      </c>
      <c r="J4" t="s">
        <v>3</v>
      </c>
      <c r="K4" t="s">
        <v>4</v>
      </c>
      <c r="L4" t="s">
        <v>5</v>
      </c>
    </row>
    <row r="5" spans="1:12" x14ac:dyDescent="0.25">
      <c r="B5">
        <v>40</v>
      </c>
      <c r="C5">
        <v>34</v>
      </c>
      <c r="D5">
        <v>6</v>
      </c>
      <c r="E5">
        <v>10</v>
      </c>
      <c r="I5">
        <v>49</v>
      </c>
      <c r="J5">
        <v>42</v>
      </c>
      <c r="K5">
        <v>7</v>
      </c>
      <c r="L5">
        <v>1</v>
      </c>
    </row>
    <row r="6" spans="1:12" x14ac:dyDescent="0.25">
      <c r="B6">
        <v>33</v>
      </c>
      <c r="C6">
        <v>37</v>
      </c>
      <c r="D6">
        <v>16</v>
      </c>
      <c r="E6">
        <v>17</v>
      </c>
      <c r="I6">
        <v>48</v>
      </c>
      <c r="J6">
        <v>35</v>
      </c>
      <c r="K6">
        <v>13</v>
      </c>
      <c r="L6">
        <v>2</v>
      </c>
    </row>
    <row r="7" spans="1:12" x14ac:dyDescent="0.25">
      <c r="B7">
        <v>44</v>
      </c>
      <c r="C7">
        <v>25</v>
      </c>
      <c r="D7">
        <v>15</v>
      </c>
      <c r="E7">
        <v>10</v>
      </c>
      <c r="I7">
        <v>47</v>
      </c>
      <c r="J7">
        <v>31</v>
      </c>
      <c r="K7">
        <v>16</v>
      </c>
      <c r="L7">
        <v>3</v>
      </c>
    </row>
    <row r="8" spans="1:12" x14ac:dyDescent="0.25">
      <c r="A8" t="s">
        <v>8</v>
      </c>
      <c r="B8">
        <f>SUM(B5:B7)</f>
        <v>117</v>
      </c>
      <c r="C8">
        <f>SUM(C5:C7)</f>
        <v>96</v>
      </c>
      <c r="D8">
        <f>SUM(D5:D7)</f>
        <v>37</v>
      </c>
      <c r="E8">
        <f>SUM(E5:E7)</f>
        <v>37</v>
      </c>
      <c r="H8" t="s">
        <v>8</v>
      </c>
      <c r="I8">
        <f>SUM(I5:I7)</f>
        <v>144</v>
      </c>
      <c r="J8">
        <f>SUM(J5:J7)</f>
        <v>108</v>
      </c>
      <c r="K8">
        <f>SUM(K5:K7)</f>
        <v>36</v>
      </c>
      <c r="L8">
        <f>SUM(L5:L7)</f>
        <v>6</v>
      </c>
    </row>
    <row r="9" spans="1:12" x14ac:dyDescent="0.25">
      <c r="A9" t="s">
        <v>7</v>
      </c>
      <c r="B9">
        <f>AVERAGE(B5:B7)</f>
        <v>39</v>
      </c>
      <c r="C9">
        <f>AVERAGE(C5:C7)</f>
        <v>32</v>
      </c>
      <c r="D9">
        <f>AVERAGE(D5:D7)</f>
        <v>12.333333333333334</v>
      </c>
      <c r="E9">
        <f>AVERAGE(E5:E7)</f>
        <v>12.333333333333334</v>
      </c>
      <c r="H9" t="s">
        <v>7</v>
      </c>
      <c r="I9">
        <f>AVERAGE(I5:I7)</f>
        <v>48</v>
      </c>
      <c r="J9">
        <f>AVERAGE(J5:J7)</f>
        <v>36</v>
      </c>
      <c r="K9">
        <f>AVERAGE(K5:K7)</f>
        <v>12</v>
      </c>
      <c r="L9">
        <f>AVERAGE(L5:L7)</f>
        <v>2</v>
      </c>
    </row>
    <row r="10" spans="1:12" x14ac:dyDescent="0.25">
      <c r="A10" t="s">
        <v>6</v>
      </c>
      <c r="B10">
        <f>LARGE(B5:B7,1)-SMALL(B5:B7,1)</f>
        <v>11</v>
      </c>
      <c r="C10">
        <f>LARGE(C5:C7,1)-SMALL(C5:C7,1)</f>
        <v>12</v>
      </c>
      <c r="D10">
        <f>LARGE(D5:D7,1)-SMALL(D5:D7,1)</f>
        <v>10</v>
      </c>
      <c r="E10">
        <f>LARGE(E5:E7,1)-SMALL(E5:E7,1)</f>
        <v>7</v>
      </c>
      <c r="H10" t="s">
        <v>6</v>
      </c>
      <c r="I10">
        <f>LARGE(I5:I7,1)-SMALL(I5:I7,1)</f>
        <v>2</v>
      </c>
      <c r="J10">
        <f>LARGE(J5:J7,1)-SMALL(J5:J7,1)</f>
        <v>11</v>
      </c>
      <c r="K10">
        <f>LARGE(K5:K7,1)-SMALL(K5:K7,1)</f>
        <v>9</v>
      </c>
      <c r="L10">
        <f>LARGE(L5:L7,1)-SMALL(L5:L7,1)</f>
        <v>2</v>
      </c>
    </row>
    <row r="12" spans="1:12" x14ac:dyDescent="0.25">
      <c r="A12" t="s">
        <v>0</v>
      </c>
      <c r="B12" t="s">
        <v>2</v>
      </c>
      <c r="C12" t="s">
        <v>3</v>
      </c>
      <c r="D12" t="s">
        <v>4</v>
      </c>
      <c r="E12" t="s">
        <v>5</v>
      </c>
      <c r="H12" t="s">
        <v>1</v>
      </c>
      <c r="I12" t="s">
        <v>2</v>
      </c>
      <c r="J12" t="s">
        <v>3</v>
      </c>
      <c r="K12" t="s">
        <v>4</v>
      </c>
      <c r="L12" t="s">
        <v>5</v>
      </c>
    </row>
    <row r="13" spans="1:12" x14ac:dyDescent="0.25">
      <c r="B13">
        <f>(B5*100 )/50</f>
        <v>80</v>
      </c>
      <c r="C13">
        <f>(C5*100 )/50</f>
        <v>68</v>
      </c>
      <c r="D13">
        <f>(D5*100 )/50</f>
        <v>12</v>
      </c>
      <c r="E13">
        <f>(E5*100 )/50</f>
        <v>20</v>
      </c>
      <c r="I13">
        <f>(I5*100 )/50</f>
        <v>98</v>
      </c>
      <c r="J13">
        <f>(J5*100 )/50</f>
        <v>84</v>
      </c>
      <c r="K13">
        <f>(K5*100 )/50</f>
        <v>14</v>
      </c>
      <c r="L13">
        <f>(L5*100 )/50</f>
        <v>2</v>
      </c>
    </row>
    <row r="14" spans="1:12" x14ac:dyDescent="0.25">
      <c r="B14">
        <f t="shared" ref="B14:E15" si="0">(B6*100 )/50</f>
        <v>66</v>
      </c>
      <c r="C14">
        <f t="shared" si="0"/>
        <v>74</v>
      </c>
      <c r="D14">
        <f t="shared" si="0"/>
        <v>32</v>
      </c>
      <c r="E14">
        <f t="shared" si="0"/>
        <v>34</v>
      </c>
      <c r="I14">
        <f t="shared" ref="I14:L14" si="1">(I6*100 )/50</f>
        <v>96</v>
      </c>
      <c r="J14">
        <f t="shared" si="1"/>
        <v>70</v>
      </c>
      <c r="K14">
        <f t="shared" si="1"/>
        <v>26</v>
      </c>
      <c r="L14">
        <f t="shared" si="1"/>
        <v>4</v>
      </c>
    </row>
    <row r="15" spans="1:12" x14ac:dyDescent="0.25">
      <c r="B15">
        <f t="shared" si="0"/>
        <v>88</v>
      </c>
      <c r="C15">
        <f t="shared" si="0"/>
        <v>50</v>
      </c>
      <c r="D15">
        <f t="shared" si="0"/>
        <v>30</v>
      </c>
      <c r="E15">
        <f t="shared" si="0"/>
        <v>20</v>
      </c>
      <c r="I15">
        <f t="shared" ref="I15:L15" si="2">(I7*100 )/50</f>
        <v>94</v>
      </c>
      <c r="J15">
        <f t="shared" si="2"/>
        <v>62</v>
      </c>
      <c r="K15">
        <f t="shared" si="2"/>
        <v>32</v>
      </c>
      <c r="L15">
        <f t="shared" si="2"/>
        <v>6</v>
      </c>
    </row>
    <row r="16" spans="1:12" x14ac:dyDescent="0.25">
      <c r="A16" t="s">
        <v>8</v>
      </c>
      <c r="B16">
        <f>SUM(B13:B15)</f>
        <v>234</v>
      </c>
      <c r="C16">
        <f>SUM(C13:C15)</f>
        <v>192</v>
      </c>
      <c r="D16">
        <f>SUM(D13:D15)</f>
        <v>74</v>
      </c>
      <c r="E16">
        <f>SUM(E13:E15)</f>
        <v>74</v>
      </c>
      <c r="H16" t="s">
        <v>8</v>
      </c>
      <c r="I16">
        <f>SUM(I13:I15)</f>
        <v>288</v>
      </c>
      <c r="J16">
        <f>SUM(J13:J15)</f>
        <v>216</v>
      </c>
      <c r="K16">
        <f>SUM(K13:K15)</f>
        <v>72</v>
      </c>
      <c r="L16">
        <f>SUM(L13:L15)</f>
        <v>12</v>
      </c>
    </row>
    <row r="17" spans="1:12" x14ac:dyDescent="0.25">
      <c r="A17" t="s">
        <v>7</v>
      </c>
      <c r="B17">
        <f>AVERAGE(B13:B15)</f>
        <v>78</v>
      </c>
      <c r="C17">
        <f>AVERAGE(C13:C15)</f>
        <v>64</v>
      </c>
      <c r="D17">
        <f>AVERAGE(D13:D15)</f>
        <v>24.666666666666668</v>
      </c>
      <c r="E17">
        <f>AVERAGE(E13:E15)</f>
        <v>24.666666666666668</v>
      </c>
      <c r="H17" t="s">
        <v>7</v>
      </c>
      <c r="I17">
        <f>AVERAGE(I13:I15)</f>
        <v>96</v>
      </c>
      <c r="J17">
        <f>AVERAGE(J13:J15)</f>
        <v>72</v>
      </c>
      <c r="K17">
        <f>AVERAGE(K13:K15)</f>
        <v>24</v>
      </c>
      <c r="L17">
        <f>AVERAGE(L13:L15)</f>
        <v>4</v>
      </c>
    </row>
    <row r="18" spans="1:12" x14ac:dyDescent="0.25">
      <c r="A18" t="s">
        <v>6</v>
      </c>
      <c r="B18">
        <f>LARGE(B13:B15,1)-SMALL(B13:B15,1)</f>
        <v>22</v>
      </c>
      <c r="C18">
        <f>LARGE(C13:C15,1)-SMALL(C13:C15,1)</f>
        <v>24</v>
      </c>
      <c r="D18">
        <f>LARGE(D13:D15,1)-SMALL(D13:D15,1)</f>
        <v>20</v>
      </c>
      <c r="E18">
        <f>LARGE(E13:E15,1)-SMALL(E13:E15,1)</f>
        <v>14</v>
      </c>
      <c r="H18" t="s">
        <v>6</v>
      </c>
      <c r="I18">
        <f>LARGE(I13:I15,1)-SMALL(I13:I15,1)</f>
        <v>4</v>
      </c>
      <c r="J18">
        <f>LARGE(J13:J15,1)-SMALL(J13:J15,1)</f>
        <v>22</v>
      </c>
      <c r="K18">
        <f>LARGE(K13:K15,1)-SMALL(K13:K15,1)</f>
        <v>18</v>
      </c>
      <c r="L18">
        <f>LARGE(L13:L15,1)-SMALL(L13:L15,1)</f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Cardoso Junior</dc:creator>
  <cp:lastModifiedBy>Luciano dos Santos Cardoso Junior</cp:lastModifiedBy>
  <dcterms:created xsi:type="dcterms:W3CDTF">2024-06-28T00:00:11Z</dcterms:created>
  <dcterms:modified xsi:type="dcterms:W3CDTF">2024-06-28T00:34:40Z</dcterms:modified>
</cp:coreProperties>
</file>