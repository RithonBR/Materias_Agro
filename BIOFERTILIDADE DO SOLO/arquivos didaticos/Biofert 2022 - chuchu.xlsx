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C6D34B4-8227-4EA2-A037-843C1F6DA141}" xr6:coauthVersionLast="47" xr6:coauthVersionMax="47" xr10:uidLastSave="{00000000-0000-0000-0000-000000000000}"/>
  <bookViews>
    <workbookView xWindow="-108" yWindow="492" windowWidth="23256" windowHeight="12576" tabRatio="784" firstSheet="11" activeTab="12" xr2:uid="{00000000-000D-0000-FFFF-FFFF00000000}"/>
  </bookViews>
  <sheets>
    <sheet name="principal" sheetId="1" r:id="rId1"/>
    <sheet name="Graficos profundidade e bifator" sheetId="6" r:id="rId2"/>
    <sheet name="Altura para fazer anova" sheetId="3" r:id="rId3"/>
    <sheet name="Altura Anova de duplo fator" sheetId="27" r:id="rId4"/>
    <sheet name="Altura tukey" sheetId="41" r:id="rId5"/>
    <sheet name="materia seca e verde" sheetId="12" r:id="rId6"/>
    <sheet name="MV para anova" sheetId="43" r:id="rId7"/>
    <sheet name="MV anova" sheetId="49" r:id="rId8"/>
    <sheet name="MV tukey" sheetId="51" r:id="rId9"/>
    <sheet name="MS para anova" sheetId="44" r:id="rId10"/>
    <sheet name="MS anova" sheetId="50" r:id="rId11"/>
    <sheet name="MS tukey" sheetId="52" r:id="rId12"/>
    <sheet name="MS-MV para anova" sheetId="28" r:id="rId13"/>
    <sheet name="anova ms-mv" sheetId="39" r:id="rId14"/>
    <sheet name="MS-mV Tukey" sheetId="42" r:id="rId15"/>
    <sheet name="Observacao sobre os chuchus " sheetId="4" r:id="rId16"/>
    <sheet name="Croqui do experimento" sheetId="5" r:id="rId17"/>
  </sheets>
  <definedNames>
    <definedName name="_xlnm._FilterDatabase" localSheetId="0" hidden="1">principal!$O$16:$O$39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" i="44" l="1"/>
  <c r="D26" i="44"/>
  <c r="E25" i="44"/>
  <c r="D25" i="44"/>
  <c r="E24" i="43"/>
  <c r="D24" i="43"/>
  <c r="E23" i="43"/>
  <c r="D23" i="43"/>
  <c r="E22" i="28"/>
  <c r="D22" i="28"/>
  <c r="E21" i="28"/>
  <c r="D21" i="28"/>
  <c r="K6" i="12"/>
  <c r="K5" i="12"/>
  <c r="K4" i="12"/>
  <c r="J6" i="12"/>
  <c r="I6" i="12"/>
  <c r="J5" i="12"/>
  <c r="I5" i="12"/>
  <c r="J4" i="12"/>
  <c r="I4" i="12"/>
  <c r="D11" i="12"/>
  <c r="J3" i="12" s="1"/>
  <c r="E5" i="12"/>
  <c r="E3" i="12"/>
  <c r="L12" i="1" l="1"/>
  <c r="J46" i="1"/>
  <c r="J35" i="1"/>
  <c r="J23" i="1"/>
  <c r="J11" i="1"/>
  <c r="D44" i="12"/>
  <c r="C44" i="12"/>
  <c r="D33" i="12"/>
  <c r="C33" i="12"/>
  <c r="D22" i="12"/>
  <c r="C22" i="12"/>
  <c r="C11" i="12"/>
  <c r="I3" i="12" s="1"/>
  <c r="E4" i="12"/>
  <c r="E6" i="12"/>
  <c r="E7" i="12"/>
  <c r="E8" i="12"/>
  <c r="E9" i="12"/>
  <c r="E10" i="12"/>
  <c r="E14" i="12"/>
  <c r="E15" i="12"/>
  <c r="E16" i="12"/>
  <c r="E17" i="12"/>
  <c r="E18" i="12"/>
  <c r="E19" i="12"/>
  <c r="E20" i="12"/>
  <c r="E21" i="12"/>
  <c r="E25" i="12"/>
  <c r="E26" i="12"/>
  <c r="E27" i="12"/>
  <c r="E28" i="12"/>
  <c r="E29" i="12"/>
  <c r="E30" i="12"/>
  <c r="E31" i="12"/>
  <c r="E32" i="12"/>
  <c r="E36" i="12"/>
  <c r="E37" i="12"/>
  <c r="E38" i="12"/>
  <c r="E39" i="12"/>
  <c r="E40" i="12"/>
  <c r="E41" i="12"/>
  <c r="E42" i="12"/>
  <c r="E43" i="12"/>
  <c r="D22" i="3"/>
  <c r="I12" i="3" s="1"/>
  <c r="E22" i="3"/>
  <c r="J12" i="3" s="1"/>
  <c r="E21" i="3"/>
  <c r="J4" i="3" s="1"/>
  <c r="D21" i="3"/>
  <c r="I9" i="3" s="1"/>
  <c r="O10" i="1"/>
  <c r="O9" i="1"/>
  <c r="O8" i="1"/>
  <c r="O7" i="1"/>
  <c r="I46" i="1"/>
  <c r="H46" i="1"/>
  <c r="G46" i="1"/>
  <c r="F46" i="1"/>
  <c r="E46" i="1"/>
  <c r="D46" i="1"/>
  <c r="C46" i="1"/>
  <c r="L47" i="1" s="1"/>
  <c r="I35" i="1"/>
  <c r="H35" i="1"/>
  <c r="G35" i="1"/>
  <c r="F35" i="1"/>
  <c r="E35" i="1"/>
  <c r="D35" i="1"/>
  <c r="C35" i="1"/>
  <c r="I23" i="1"/>
  <c r="H23" i="1"/>
  <c r="G23" i="1"/>
  <c r="F23" i="1"/>
  <c r="E23" i="1"/>
  <c r="D23" i="1"/>
  <c r="C23" i="1"/>
  <c r="I11" i="1"/>
  <c r="H11" i="1"/>
  <c r="G11" i="1"/>
  <c r="F11" i="1"/>
  <c r="E11" i="1"/>
  <c r="D11" i="1"/>
  <c r="C11" i="1"/>
  <c r="E11" i="12" l="1"/>
  <c r="K3" i="12" s="1"/>
  <c r="E22" i="12"/>
  <c r="E44" i="12"/>
  <c r="E33" i="12"/>
  <c r="I4" i="3"/>
  <c r="J11" i="3"/>
  <c r="J19" i="3"/>
  <c r="I10" i="3"/>
  <c r="J10" i="3"/>
  <c r="I18" i="3"/>
  <c r="J18" i="3"/>
  <c r="I19" i="3"/>
  <c r="I8" i="3"/>
  <c r="J9" i="3"/>
  <c r="I17" i="3"/>
  <c r="J17" i="3"/>
  <c r="I7" i="3"/>
  <c r="J8" i="3"/>
  <c r="I16" i="3"/>
  <c r="J16" i="3"/>
  <c r="I6" i="3"/>
  <c r="J7" i="3"/>
  <c r="I15" i="3"/>
  <c r="J15" i="3"/>
  <c r="I5" i="3"/>
  <c r="J6" i="3"/>
  <c r="I14" i="3"/>
  <c r="J14" i="3"/>
  <c r="I11" i="3"/>
  <c r="J5" i="3"/>
  <c r="I13" i="3"/>
  <c r="J13" i="3"/>
  <c r="L36" i="1"/>
  <c r="Q9" i="1" s="1"/>
  <c r="L24" i="1"/>
  <c r="Q7" i="1"/>
  <c r="Q8" i="1"/>
  <c r="Q10" i="1"/>
</calcChain>
</file>

<file path=xl/sharedStrings.xml><?xml version="1.0" encoding="utf-8"?>
<sst xmlns="http://schemas.openxmlformats.org/spreadsheetml/2006/main" count="397" uniqueCount="135">
  <si>
    <t>Dia 27/05</t>
  </si>
  <si>
    <t>Dia 02/06</t>
  </si>
  <si>
    <t>Dia 10/06</t>
  </si>
  <si>
    <t>Dia 17/06</t>
  </si>
  <si>
    <t>Dia 20/06</t>
  </si>
  <si>
    <t>Dia 5/07</t>
  </si>
  <si>
    <t>Dia 16/07</t>
  </si>
  <si>
    <t>T1.2</t>
  </si>
  <si>
    <t>T1.4</t>
  </si>
  <si>
    <t>T1.6</t>
  </si>
  <si>
    <t>T1.7</t>
  </si>
  <si>
    <t>T1.1</t>
  </si>
  <si>
    <t>T1.5</t>
  </si>
  <si>
    <t>T1.8</t>
  </si>
  <si>
    <t>T1.3</t>
  </si>
  <si>
    <t xml:space="preserve">Media </t>
  </si>
  <si>
    <t>T2.2</t>
  </si>
  <si>
    <t>T2.3</t>
  </si>
  <si>
    <t>T2.5</t>
  </si>
  <si>
    <t>T2.8</t>
  </si>
  <si>
    <t>T2.4</t>
  </si>
  <si>
    <t>T2.1</t>
  </si>
  <si>
    <t>T2.7</t>
  </si>
  <si>
    <t>T2.6</t>
  </si>
  <si>
    <t>T3.5</t>
  </si>
  <si>
    <t>T3.2</t>
  </si>
  <si>
    <t>T3.8</t>
  </si>
  <si>
    <t>T3.4</t>
  </si>
  <si>
    <t>T3.3</t>
  </si>
  <si>
    <t>T3.7</t>
  </si>
  <si>
    <t>T3.6</t>
  </si>
  <si>
    <t>T3.1</t>
  </si>
  <si>
    <t>T4.6</t>
  </si>
  <si>
    <t>T4.3</t>
  </si>
  <si>
    <t>T4.5</t>
  </si>
  <si>
    <t>T4.7</t>
  </si>
  <si>
    <t>T4.8</t>
  </si>
  <si>
    <t>T4.4</t>
  </si>
  <si>
    <t>T4.2</t>
  </si>
  <si>
    <t>Media</t>
  </si>
  <si>
    <t>T1</t>
  </si>
  <si>
    <t>T2</t>
  </si>
  <si>
    <t>T3</t>
  </si>
  <si>
    <t>T4</t>
  </si>
  <si>
    <t>Observacoes sobre os chuchus</t>
  </si>
  <si>
    <t>Legenda</t>
  </si>
  <si>
    <t>1 marca na frente</t>
  </si>
  <si>
    <t>MS</t>
  </si>
  <si>
    <t>Marcas superficiais</t>
  </si>
  <si>
    <t>BE</t>
  </si>
  <si>
    <t>Bom estado</t>
  </si>
  <si>
    <t>M</t>
  </si>
  <si>
    <t>Menor</t>
  </si>
  <si>
    <t>DM</t>
  </si>
  <si>
    <t>Diversas marcas</t>
  </si>
  <si>
    <t>BE / M</t>
  </si>
  <si>
    <t>1 Marca superficial / M</t>
  </si>
  <si>
    <t>Buraco centro</t>
  </si>
  <si>
    <t>1 marca atrás</t>
  </si>
  <si>
    <t>T4.1</t>
  </si>
  <si>
    <t>Pequena marca</t>
  </si>
  <si>
    <t xml:space="preserve">Aleatoriazacao será feita </t>
  </si>
  <si>
    <t>Azo</t>
  </si>
  <si>
    <t>Medias</t>
  </si>
  <si>
    <t>Rootela BR</t>
  </si>
  <si>
    <t>sem</t>
  </si>
  <si>
    <t>Sem</t>
  </si>
  <si>
    <t>Com</t>
  </si>
  <si>
    <t>azospirillum</t>
  </si>
  <si>
    <t>Azospirillum</t>
  </si>
  <si>
    <t>Anova: fator duplo com repetição</t>
  </si>
  <si>
    <t>RESUMO</t>
  </si>
  <si>
    <t>Total</t>
  </si>
  <si>
    <t>Contagem</t>
  </si>
  <si>
    <t>Soma</t>
  </si>
  <si>
    <t>Média</t>
  </si>
  <si>
    <t>Variância</t>
  </si>
  <si>
    <t>ANOVA</t>
  </si>
  <si>
    <t>Fonte da variação</t>
  </si>
  <si>
    <t>SQ</t>
  </si>
  <si>
    <t>gl</t>
  </si>
  <si>
    <t>MQ</t>
  </si>
  <si>
    <t>F</t>
  </si>
  <si>
    <t>valor-P</t>
  </si>
  <si>
    <t>F crítico</t>
  </si>
  <si>
    <t>Interações</t>
  </si>
  <si>
    <t>Dentro</t>
  </si>
  <si>
    <t>azo</t>
  </si>
  <si>
    <t xml:space="preserve">T2.2 </t>
  </si>
  <si>
    <t xml:space="preserve">T4.3 </t>
  </si>
  <si>
    <t xml:space="preserve">T3.4 </t>
  </si>
  <si>
    <t xml:space="preserve">T4.6 </t>
  </si>
  <si>
    <t xml:space="preserve">T1.4 </t>
  </si>
  <si>
    <t xml:space="preserve">T4.1 </t>
  </si>
  <si>
    <t xml:space="preserve">T4.4 </t>
  </si>
  <si>
    <t xml:space="preserve">T4.5 </t>
  </si>
  <si>
    <t xml:space="preserve">T1.1 </t>
  </si>
  <si>
    <t xml:space="preserve">T1.3 </t>
  </si>
  <si>
    <t xml:space="preserve">T1.7 </t>
  </si>
  <si>
    <t xml:space="preserve">T1.6 </t>
  </si>
  <si>
    <t xml:space="preserve">T2.6 </t>
  </si>
  <si>
    <t xml:space="preserve">T1.5  </t>
  </si>
  <si>
    <t xml:space="preserve">T1.8 </t>
  </si>
  <si>
    <t xml:space="preserve">T2.7 </t>
  </si>
  <si>
    <t xml:space="preserve">T2.3 </t>
  </si>
  <si>
    <t xml:space="preserve">T3.8 </t>
  </si>
  <si>
    <t xml:space="preserve">T3.5 </t>
  </si>
  <si>
    <t xml:space="preserve">T2.4 </t>
  </si>
  <si>
    <t xml:space="preserve">T2.5 </t>
  </si>
  <si>
    <t xml:space="preserve">T2.8 </t>
  </si>
  <si>
    <t xml:space="preserve">T2.1 </t>
  </si>
  <si>
    <t xml:space="preserve">T3.3 </t>
  </si>
  <si>
    <t xml:space="preserve">T3.2 </t>
  </si>
  <si>
    <t xml:space="preserve">T3.1 </t>
  </si>
  <si>
    <t xml:space="preserve">T3.7 </t>
  </si>
  <si>
    <t xml:space="preserve">T1.2 </t>
  </si>
  <si>
    <t xml:space="preserve">T3.6 </t>
  </si>
  <si>
    <t>Materia verde</t>
  </si>
  <si>
    <t>Materia seca</t>
  </si>
  <si>
    <t>Dia 22/07</t>
  </si>
  <si>
    <t xml:space="preserve">CONTROLE </t>
  </si>
  <si>
    <t>FMA // RootelaBR</t>
  </si>
  <si>
    <t>Azospirrillum</t>
  </si>
  <si>
    <t>AZO + FMA</t>
  </si>
  <si>
    <t>Crescimento semanal</t>
  </si>
  <si>
    <t>Altura dos Chuchus em cm</t>
  </si>
  <si>
    <t>Com Azo</t>
  </si>
  <si>
    <t>Com FMA</t>
  </si>
  <si>
    <t>Sem FMA</t>
  </si>
  <si>
    <t>Sem Azo</t>
  </si>
  <si>
    <t>fma</t>
  </si>
  <si>
    <t>FMA</t>
  </si>
  <si>
    <t>Mat. Verde - Materia seca</t>
  </si>
  <si>
    <t>Tabela para achar os Outliers</t>
  </si>
  <si>
    <t>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</si>
</sst>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4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1" fillId="0" borderId="5" xfId="0" applyFont="1" applyBorder="1" applyAlignment="1"/>
    <xf numFmtId="0" fontId="1" fillId="2" borderId="3" xfId="0" applyFont="1" applyFill="1" applyBorder="1" applyAlignment="1">
      <alignment horizontal="center"/>
    </xf>
    <xf numFmtId="0" fontId="0" fillId="0" borderId="13" xfId="0" applyFont="1" applyBorder="1" applyAlignment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2" fontId="2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6" fillId="0" borderId="13" xfId="0" applyFont="1" applyBorder="1" applyAlignment="1"/>
    <xf numFmtId="2" fontId="2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/>
    <xf numFmtId="0" fontId="7" fillId="0" borderId="16" xfId="0" applyFont="1" applyFill="1" applyBorder="1" applyAlignment="1">
      <alignment horizontal="right"/>
    </xf>
    <xf numFmtId="0" fontId="0" fillId="0" borderId="17" xfId="0" applyFill="1" applyBorder="1" applyAlignment="1"/>
    <xf numFmtId="0" fontId="8" fillId="0" borderId="18" xfId="0" applyFont="1" applyFill="1" applyBorder="1" applyAlignment="1">
      <alignment horizontal="center"/>
    </xf>
    <xf numFmtId="2" fontId="0" fillId="0" borderId="13" xfId="0" applyNumberFormat="1" applyFont="1" applyBorder="1" applyAlignment="1">
      <alignment horizontal="center" vertical="center"/>
    </xf>
    <xf numFmtId="0" fontId="0" fillId="0" borderId="0" xfId="0" applyFont="1" applyFill="1" applyBorder="1" applyAlignment="1"/>
    <xf numFmtId="2" fontId="3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Alignment="1"/>
    <xf numFmtId="0" fontId="0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/>
    <xf numFmtId="9" fontId="0" fillId="0" borderId="0" xfId="1" applyFont="1" applyAlignment="1"/>
    <xf numFmtId="9" fontId="0" fillId="0" borderId="0" xfId="0" applyNumberFormat="1" applyFont="1" applyAlignment="1"/>
    <xf numFmtId="0" fontId="0" fillId="0" borderId="19" xfId="0" applyFont="1" applyFill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6" fillId="0" borderId="13" xfId="0" applyFont="1" applyFill="1" applyBorder="1" applyAlignment="1"/>
    <xf numFmtId="0" fontId="6" fillId="0" borderId="0" xfId="0" applyFont="1" applyBorder="1" applyAlignment="1"/>
    <xf numFmtId="0" fontId="2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/>
    <xf numFmtId="0" fontId="4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3" xfId="0" applyFont="1" applyBorder="1"/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/>
    <xf numFmtId="0" fontId="6" fillId="0" borderId="13" xfId="0" applyFont="1" applyBorder="1" applyAlignment="1">
      <alignment horizontal="center"/>
    </xf>
    <xf numFmtId="0" fontId="2" fillId="0" borderId="6" xfId="0" applyFont="1" applyBorder="1" applyAlignment="1"/>
    <xf numFmtId="0" fontId="1" fillId="0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10" fillId="0" borderId="2" xfId="0" applyFont="1" applyBorder="1"/>
    <xf numFmtId="2" fontId="1" fillId="2" borderId="13" xfId="0" applyNumberFormat="1" applyFont="1" applyFill="1" applyBorder="1" applyAlignment="1">
      <alignment horizontal="center"/>
    </xf>
    <xf numFmtId="2" fontId="11" fillId="2" borderId="13" xfId="0" applyNumberFormat="1" applyFont="1" applyFill="1" applyBorder="1" applyAlignment="1">
      <alignment horizontal="center"/>
    </xf>
    <xf numFmtId="2" fontId="1" fillId="0" borderId="13" xfId="0" applyNumberFormat="1" applyFont="1" applyFill="1" applyBorder="1" applyAlignment="1">
      <alignment horizontal="center"/>
    </xf>
    <xf numFmtId="2" fontId="11" fillId="0" borderId="13" xfId="0" applyNumberFormat="1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2" fontId="12" fillId="0" borderId="13" xfId="0" applyNumberFormat="1" applyFont="1" applyBorder="1" applyAlignment="1">
      <alignment horizontal="center" vertical="center"/>
    </xf>
    <xf numFmtId="0" fontId="11" fillId="0" borderId="13" xfId="0" applyFont="1" applyFill="1" applyBorder="1" applyAlignment="1">
      <alignment horizontal="center"/>
    </xf>
    <xf numFmtId="0" fontId="6" fillId="0" borderId="19" xfId="0" applyFont="1" applyFill="1" applyBorder="1" applyAlignment="1"/>
    <xf numFmtId="2" fontId="0" fillId="0" borderId="19" xfId="0" applyNumberFormat="1" applyFont="1" applyFill="1" applyBorder="1" applyAlignment="1">
      <alignment horizontal="center" vertical="center"/>
    </xf>
    <xf numFmtId="2" fontId="0" fillId="0" borderId="0" xfId="0" applyNumberFormat="1" applyFont="1" applyAlignment="1"/>
    <xf numFmtId="2" fontId="12" fillId="0" borderId="13" xfId="0" applyNumberFormat="1" applyFont="1" applyBorder="1" applyAlignment="1"/>
    <xf numFmtId="0" fontId="12" fillId="0" borderId="13" xfId="0" applyFont="1" applyBorder="1" applyAlignment="1"/>
    <xf numFmtId="0" fontId="6" fillId="0" borderId="13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2" fontId="6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2" fontId="0" fillId="0" borderId="13" xfId="0" applyNumberFormat="1" applyFont="1" applyBorder="1" applyAlignment="1">
      <alignment horizontal="center"/>
    </xf>
    <xf numFmtId="0" fontId="6" fillId="0" borderId="16" xfId="0" applyFont="1" applyFill="1" applyBorder="1" applyAlignment="1">
      <alignment horizontal="left" vertical="top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Tratamento Controle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principal!$C$2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A-4740-AAFB-DDFC866C1138}"/>
            </c:ext>
          </c:extLst>
        </c:ser>
        <c:ser>
          <c:idx val="1"/>
          <c:order val="1"/>
          <c:tx>
            <c:strRef>
              <c:f>principal!$D$2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principal!$D$3:$D$10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A-4740-AAFB-DDFC866C1138}"/>
            </c:ext>
          </c:extLst>
        </c:ser>
        <c:ser>
          <c:idx val="2"/>
          <c:order val="2"/>
          <c:tx>
            <c:strRef>
              <c:f>principal!$E$2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principal!$E$3:$E$10</c:f>
              <c:numCache>
                <c:formatCode>General</c:formatCode>
                <c:ptCount val="8"/>
                <c:pt idx="0">
                  <c:v>22</c:v>
                </c:pt>
                <c:pt idx="1">
                  <c:v>0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2.5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A-4740-AAFB-DDFC866C1138}"/>
            </c:ext>
          </c:extLst>
        </c:ser>
        <c:ser>
          <c:idx val="3"/>
          <c:order val="3"/>
          <c:tx>
            <c:strRef>
              <c:f>principal!$F$2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principal!$F$3:$F$10</c:f>
              <c:numCache>
                <c:formatCode>General</c:formatCode>
                <c:ptCount val="8"/>
                <c:pt idx="0">
                  <c:v>61</c:v>
                </c:pt>
                <c:pt idx="1">
                  <c:v>4</c:v>
                </c:pt>
                <c:pt idx="2">
                  <c:v>48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A-4740-AAFB-DDFC866C1138}"/>
            </c:ext>
          </c:extLst>
        </c:ser>
        <c:ser>
          <c:idx val="4"/>
          <c:order val="4"/>
          <c:tx>
            <c:strRef>
              <c:f>principal!$G$2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principal!$G$3:$G$10</c:f>
              <c:numCache>
                <c:formatCode>General</c:formatCode>
                <c:ptCount val="8"/>
                <c:pt idx="0">
                  <c:v>64</c:v>
                </c:pt>
                <c:pt idx="1">
                  <c:v>7</c:v>
                </c:pt>
                <c:pt idx="2">
                  <c:v>50</c:v>
                </c:pt>
                <c:pt idx="3">
                  <c:v>5</c:v>
                </c:pt>
                <c:pt idx="4">
                  <c:v>2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EA-4740-AAFB-DDFC866C1138}"/>
            </c:ext>
          </c:extLst>
        </c:ser>
        <c:ser>
          <c:idx val="5"/>
          <c:order val="5"/>
          <c:tx>
            <c:strRef>
              <c:f>principal!$H$2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principal!$H$3:$H$10</c:f>
              <c:numCache>
                <c:formatCode>General</c:formatCode>
                <c:ptCount val="8"/>
                <c:pt idx="0">
                  <c:v>67</c:v>
                </c:pt>
                <c:pt idx="1">
                  <c:v>53</c:v>
                </c:pt>
                <c:pt idx="2">
                  <c:v>54</c:v>
                </c:pt>
                <c:pt idx="3">
                  <c:v>30</c:v>
                </c:pt>
                <c:pt idx="4">
                  <c:v>17</c:v>
                </c:pt>
                <c:pt idx="5">
                  <c:v>14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EA-4740-AAFB-DDFC866C1138}"/>
            </c:ext>
          </c:extLst>
        </c:ser>
        <c:ser>
          <c:idx val="6"/>
          <c:order val="6"/>
          <c:tx>
            <c:strRef>
              <c:f>principal!$I$2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principal!$I$3:$I$10</c:f>
              <c:numCache>
                <c:formatCode>General</c:formatCode>
                <c:ptCount val="8"/>
                <c:pt idx="0">
                  <c:v>68</c:v>
                </c:pt>
                <c:pt idx="1">
                  <c:v>65</c:v>
                </c:pt>
                <c:pt idx="2">
                  <c:v>56</c:v>
                </c:pt>
                <c:pt idx="3">
                  <c:v>53</c:v>
                </c:pt>
                <c:pt idx="4">
                  <c:v>22</c:v>
                </c:pt>
                <c:pt idx="5">
                  <c:v>16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EA-4740-AAFB-DDFC866C1138}"/>
            </c:ext>
          </c:extLst>
        </c:ser>
        <c:ser>
          <c:idx val="7"/>
          <c:order val="7"/>
          <c:tx>
            <c:strRef>
              <c:f>principal!$J$2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principal!$J$3:$J$10</c:f>
              <c:numCache>
                <c:formatCode>General</c:formatCode>
                <c:ptCount val="8"/>
                <c:pt idx="0">
                  <c:v>90</c:v>
                </c:pt>
                <c:pt idx="1">
                  <c:v>70</c:v>
                </c:pt>
                <c:pt idx="2">
                  <c:v>59</c:v>
                </c:pt>
                <c:pt idx="3">
                  <c:v>53</c:v>
                </c:pt>
                <c:pt idx="4">
                  <c:v>27</c:v>
                </c:pt>
                <c:pt idx="5">
                  <c:v>25</c:v>
                </c:pt>
                <c:pt idx="6">
                  <c:v>16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EA-4740-AAFB-DDFC866C1138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452973136"/>
        <c:axId val="1452972304"/>
        <c:axId val="1454273584"/>
      </c:surface3DChart>
      <c:catAx>
        <c:axId val="145297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2972304"/>
        <c:crosses val="autoZero"/>
        <c:auto val="1"/>
        <c:lblAlgn val="ctr"/>
        <c:lblOffset val="100"/>
        <c:noMultiLvlLbl val="0"/>
      </c:catAx>
      <c:valAx>
        <c:axId val="14529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2973136"/>
        <c:crosses val="autoZero"/>
        <c:crossBetween val="midCat"/>
      </c:valAx>
      <c:serAx>
        <c:axId val="1454273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29723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 rtl="0">
            <a:defRPr>
              <a:solidFill>
                <a:schemeClr val="bg1"/>
              </a:solidFill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principal!$C$2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3-4BF3-80A0-78CF01144FCF}"/>
            </c:ext>
          </c:extLst>
        </c:ser>
        <c:ser>
          <c:idx val="1"/>
          <c:order val="1"/>
          <c:tx>
            <c:strRef>
              <c:f>principal!$D$2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principal!$D$3:$D$10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3-4BF3-80A0-78CF01144FCF}"/>
            </c:ext>
          </c:extLst>
        </c:ser>
        <c:ser>
          <c:idx val="2"/>
          <c:order val="2"/>
          <c:tx>
            <c:strRef>
              <c:f>principal!$E$2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principal!$E$3:$E$10</c:f>
              <c:numCache>
                <c:formatCode>General</c:formatCode>
                <c:ptCount val="8"/>
                <c:pt idx="0">
                  <c:v>22</c:v>
                </c:pt>
                <c:pt idx="1">
                  <c:v>0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2.5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3-4BF3-80A0-78CF01144FCF}"/>
            </c:ext>
          </c:extLst>
        </c:ser>
        <c:ser>
          <c:idx val="3"/>
          <c:order val="3"/>
          <c:tx>
            <c:strRef>
              <c:f>principal!$F$2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principal!$F$3:$F$10</c:f>
              <c:numCache>
                <c:formatCode>General</c:formatCode>
                <c:ptCount val="8"/>
                <c:pt idx="0">
                  <c:v>61</c:v>
                </c:pt>
                <c:pt idx="1">
                  <c:v>4</c:v>
                </c:pt>
                <c:pt idx="2">
                  <c:v>48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D3-4BF3-80A0-78CF01144FCF}"/>
            </c:ext>
          </c:extLst>
        </c:ser>
        <c:ser>
          <c:idx val="4"/>
          <c:order val="4"/>
          <c:tx>
            <c:strRef>
              <c:f>principal!$G$2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principal!$G$3:$G$10</c:f>
              <c:numCache>
                <c:formatCode>General</c:formatCode>
                <c:ptCount val="8"/>
                <c:pt idx="0">
                  <c:v>64</c:v>
                </c:pt>
                <c:pt idx="1">
                  <c:v>7</c:v>
                </c:pt>
                <c:pt idx="2">
                  <c:v>50</c:v>
                </c:pt>
                <c:pt idx="3">
                  <c:v>5</c:v>
                </c:pt>
                <c:pt idx="4">
                  <c:v>2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D3-4BF3-80A0-78CF01144FCF}"/>
            </c:ext>
          </c:extLst>
        </c:ser>
        <c:ser>
          <c:idx val="5"/>
          <c:order val="5"/>
          <c:tx>
            <c:strRef>
              <c:f>principal!$H$2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principal!$H$3:$H$10</c:f>
              <c:numCache>
                <c:formatCode>General</c:formatCode>
                <c:ptCount val="8"/>
                <c:pt idx="0">
                  <c:v>67</c:v>
                </c:pt>
                <c:pt idx="1">
                  <c:v>53</c:v>
                </c:pt>
                <c:pt idx="2">
                  <c:v>54</c:v>
                </c:pt>
                <c:pt idx="3">
                  <c:v>30</c:v>
                </c:pt>
                <c:pt idx="4">
                  <c:v>17</c:v>
                </c:pt>
                <c:pt idx="5">
                  <c:v>14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D3-4BF3-80A0-78CF01144FCF}"/>
            </c:ext>
          </c:extLst>
        </c:ser>
        <c:ser>
          <c:idx val="6"/>
          <c:order val="6"/>
          <c:tx>
            <c:strRef>
              <c:f>principal!$I$2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principal!$I$3:$I$10</c:f>
              <c:numCache>
                <c:formatCode>General</c:formatCode>
                <c:ptCount val="8"/>
                <c:pt idx="0">
                  <c:v>68</c:v>
                </c:pt>
                <c:pt idx="1">
                  <c:v>65</c:v>
                </c:pt>
                <c:pt idx="2">
                  <c:v>56</c:v>
                </c:pt>
                <c:pt idx="3">
                  <c:v>53</c:v>
                </c:pt>
                <c:pt idx="4">
                  <c:v>22</c:v>
                </c:pt>
                <c:pt idx="5">
                  <c:v>16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D3-4BF3-80A0-78CF01144FCF}"/>
            </c:ext>
          </c:extLst>
        </c:ser>
        <c:ser>
          <c:idx val="7"/>
          <c:order val="7"/>
          <c:tx>
            <c:strRef>
              <c:f>principal!$J$2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principal!$B$3:$B$10</c:f>
              <c:strCache>
                <c:ptCount val="8"/>
                <c:pt idx="0">
                  <c:v>T1.2</c:v>
                </c:pt>
                <c:pt idx="1">
                  <c:v>T1.4</c:v>
                </c:pt>
                <c:pt idx="2">
                  <c:v>T1.6</c:v>
                </c:pt>
                <c:pt idx="3">
                  <c:v>T1.7</c:v>
                </c:pt>
                <c:pt idx="4">
                  <c:v>T1.1</c:v>
                </c:pt>
                <c:pt idx="5">
                  <c:v>T1.5</c:v>
                </c:pt>
                <c:pt idx="6">
                  <c:v>T1.8</c:v>
                </c:pt>
                <c:pt idx="7">
                  <c:v>T1.3</c:v>
                </c:pt>
              </c:strCache>
            </c:strRef>
          </c:cat>
          <c:val>
            <c:numRef>
              <c:f>principal!$J$3:$J$10</c:f>
              <c:numCache>
                <c:formatCode>General</c:formatCode>
                <c:ptCount val="8"/>
                <c:pt idx="0">
                  <c:v>90</c:v>
                </c:pt>
                <c:pt idx="1">
                  <c:v>70</c:v>
                </c:pt>
                <c:pt idx="2">
                  <c:v>59</c:v>
                </c:pt>
                <c:pt idx="3">
                  <c:v>53</c:v>
                </c:pt>
                <c:pt idx="4">
                  <c:v>27</c:v>
                </c:pt>
                <c:pt idx="5">
                  <c:v>25</c:v>
                </c:pt>
                <c:pt idx="6">
                  <c:v>16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D3-4BF3-80A0-78CF01144FCF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966247984"/>
        <c:axId val="966248400"/>
        <c:axId val="1392031040"/>
      </c:surfaceChart>
      <c:catAx>
        <c:axId val="96624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6248400"/>
        <c:crosses val="autoZero"/>
        <c:auto val="1"/>
        <c:lblAlgn val="ctr"/>
        <c:lblOffset val="100"/>
        <c:noMultiLvlLbl val="0"/>
      </c:catAx>
      <c:valAx>
        <c:axId val="9662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6247984"/>
        <c:crosses val="autoZero"/>
        <c:crossBetween val="midCat"/>
      </c:valAx>
      <c:serAx>
        <c:axId val="1392031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6248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Tratamento FMA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principal!$C$14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principal!$C$15:$C$22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2-422F-AC91-6597FFA95FF5}"/>
            </c:ext>
          </c:extLst>
        </c:ser>
        <c:ser>
          <c:idx val="1"/>
          <c:order val="1"/>
          <c:tx>
            <c:strRef>
              <c:f>principal!$D$14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principal!$D$15:$D$22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2-422F-AC91-6597FFA95FF5}"/>
            </c:ext>
          </c:extLst>
        </c:ser>
        <c:ser>
          <c:idx val="2"/>
          <c:order val="2"/>
          <c:tx>
            <c:strRef>
              <c:f>principal!$E$14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principal!$E$15:$E$22</c:f>
              <c:numCache>
                <c:formatCode>General</c:formatCode>
                <c:ptCount val="8"/>
                <c:pt idx="0">
                  <c:v>0</c:v>
                </c:pt>
                <c:pt idx="1">
                  <c:v>13</c:v>
                </c:pt>
                <c:pt idx="2">
                  <c:v>9.5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2-422F-AC91-6597FFA95FF5}"/>
            </c:ext>
          </c:extLst>
        </c:ser>
        <c:ser>
          <c:idx val="3"/>
          <c:order val="3"/>
          <c:tx>
            <c:strRef>
              <c:f>principal!$F$14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principal!$F$15:$F$22</c:f>
              <c:numCache>
                <c:formatCode>General</c:formatCode>
                <c:ptCount val="8"/>
                <c:pt idx="0">
                  <c:v>5</c:v>
                </c:pt>
                <c:pt idx="1">
                  <c:v>56</c:v>
                </c:pt>
                <c:pt idx="2">
                  <c:v>39</c:v>
                </c:pt>
                <c:pt idx="3">
                  <c:v>0</c:v>
                </c:pt>
                <c:pt idx="4">
                  <c:v>42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B2-422F-AC91-6597FFA95FF5}"/>
            </c:ext>
          </c:extLst>
        </c:ser>
        <c:ser>
          <c:idx val="4"/>
          <c:order val="4"/>
          <c:tx>
            <c:strRef>
              <c:f>principal!$G$14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principal!$G$15:$G$22</c:f>
              <c:numCache>
                <c:formatCode>General</c:formatCode>
                <c:ptCount val="8"/>
                <c:pt idx="0">
                  <c:v>6</c:v>
                </c:pt>
                <c:pt idx="1">
                  <c:v>57</c:v>
                </c:pt>
                <c:pt idx="2">
                  <c:v>62</c:v>
                </c:pt>
                <c:pt idx="3">
                  <c:v>2</c:v>
                </c:pt>
                <c:pt idx="4">
                  <c:v>52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B2-422F-AC91-6597FFA95FF5}"/>
            </c:ext>
          </c:extLst>
        </c:ser>
        <c:ser>
          <c:idx val="5"/>
          <c:order val="5"/>
          <c:tx>
            <c:strRef>
              <c:f>principal!$H$14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principal!$H$15:$H$22</c:f>
              <c:numCache>
                <c:formatCode>General</c:formatCode>
                <c:ptCount val="8"/>
                <c:pt idx="0">
                  <c:v>7</c:v>
                </c:pt>
                <c:pt idx="1">
                  <c:v>63</c:v>
                </c:pt>
                <c:pt idx="2">
                  <c:v>64</c:v>
                </c:pt>
                <c:pt idx="3">
                  <c:v>18</c:v>
                </c:pt>
                <c:pt idx="4">
                  <c:v>54</c:v>
                </c:pt>
                <c:pt idx="5">
                  <c:v>30</c:v>
                </c:pt>
                <c:pt idx="6">
                  <c:v>7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B2-422F-AC91-6597FFA95FF5}"/>
            </c:ext>
          </c:extLst>
        </c:ser>
        <c:ser>
          <c:idx val="6"/>
          <c:order val="6"/>
          <c:tx>
            <c:strRef>
              <c:f>principal!$I$14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principal!$I$15:$I$22</c:f>
              <c:numCache>
                <c:formatCode>General</c:formatCode>
                <c:ptCount val="8"/>
                <c:pt idx="0">
                  <c:v>14</c:v>
                </c:pt>
                <c:pt idx="1">
                  <c:v>68</c:v>
                </c:pt>
                <c:pt idx="2">
                  <c:v>72</c:v>
                </c:pt>
                <c:pt idx="3">
                  <c:v>54</c:v>
                </c:pt>
                <c:pt idx="4">
                  <c:v>65</c:v>
                </c:pt>
                <c:pt idx="5">
                  <c:v>54</c:v>
                </c:pt>
                <c:pt idx="6">
                  <c:v>9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B2-422F-AC91-6597FFA95FF5}"/>
            </c:ext>
          </c:extLst>
        </c:ser>
        <c:ser>
          <c:idx val="7"/>
          <c:order val="7"/>
          <c:tx>
            <c:strRef>
              <c:f>principal!$J$14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principal!$J$15:$J$22</c:f>
              <c:numCache>
                <c:formatCode>General</c:formatCode>
                <c:ptCount val="8"/>
                <c:pt idx="0">
                  <c:v>120</c:v>
                </c:pt>
                <c:pt idx="1">
                  <c:v>95</c:v>
                </c:pt>
                <c:pt idx="2">
                  <c:v>84</c:v>
                </c:pt>
                <c:pt idx="3">
                  <c:v>70</c:v>
                </c:pt>
                <c:pt idx="4">
                  <c:v>69</c:v>
                </c:pt>
                <c:pt idx="5">
                  <c:v>65</c:v>
                </c:pt>
                <c:pt idx="6">
                  <c:v>24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B2-422F-AC91-6597FFA95FF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453313216"/>
        <c:axId val="1453313632"/>
        <c:axId val="1407019424"/>
      </c:surface3DChart>
      <c:catAx>
        <c:axId val="145331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3313632"/>
        <c:crosses val="autoZero"/>
        <c:auto val="1"/>
        <c:lblAlgn val="ctr"/>
        <c:lblOffset val="100"/>
        <c:noMultiLvlLbl val="0"/>
      </c:catAx>
      <c:valAx>
        <c:axId val="14533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3313216"/>
        <c:crosses val="autoZero"/>
        <c:crossBetween val="midCat"/>
      </c:valAx>
      <c:serAx>
        <c:axId val="1407019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33136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principal!$C$14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principal!$C$15:$C$22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D-4ED3-9AF9-42C1477B937D}"/>
            </c:ext>
          </c:extLst>
        </c:ser>
        <c:ser>
          <c:idx val="1"/>
          <c:order val="1"/>
          <c:tx>
            <c:strRef>
              <c:f>principal!$D$14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principal!$D$15:$D$22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D-4ED3-9AF9-42C1477B937D}"/>
            </c:ext>
          </c:extLst>
        </c:ser>
        <c:ser>
          <c:idx val="2"/>
          <c:order val="2"/>
          <c:tx>
            <c:strRef>
              <c:f>principal!$E$14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principal!$E$15:$E$22</c:f>
              <c:numCache>
                <c:formatCode>General</c:formatCode>
                <c:ptCount val="8"/>
                <c:pt idx="0">
                  <c:v>0</c:v>
                </c:pt>
                <c:pt idx="1">
                  <c:v>13</c:v>
                </c:pt>
                <c:pt idx="2">
                  <c:v>9.5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D-4ED3-9AF9-42C1477B937D}"/>
            </c:ext>
          </c:extLst>
        </c:ser>
        <c:ser>
          <c:idx val="3"/>
          <c:order val="3"/>
          <c:tx>
            <c:strRef>
              <c:f>principal!$F$14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principal!$F$15:$F$22</c:f>
              <c:numCache>
                <c:formatCode>General</c:formatCode>
                <c:ptCount val="8"/>
                <c:pt idx="0">
                  <c:v>5</c:v>
                </c:pt>
                <c:pt idx="1">
                  <c:v>56</c:v>
                </c:pt>
                <c:pt idx="2">
                  <c:v>39</c:v>
                </c:pt>
                <c:pt idx="3">
                  <c:v>0</c:v>
                </c:pt>
                <c:pt idx="4">
                  <c:v>42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5D-4ED3-9AF9-42C1477B937D}"/>
            </c:ext>
          </c:extLst>
        </c:ser>
        <c:ser>
          <c:idx val="4"/>
          <c:order val="4"/>
          <c:tx>
            <c:strRef>
              <c:f>principal!$G$14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principal!$G$15:$G$22</c:f>
              <c:numCache>
                <c:formatCode>General</c:formatCode>
                <c:ptCount val="8"/>
                <c:pt idx="0">
                  <c:v>6</c:v>
                </c:pt>
                <c:pt idx="1">
                  <c:v>57</c:v>
                </c:pt>
                <c:pt idx="2">
                  <c:v>62</c:v>
                </c:pt>
                <c:pt idx="3">
                  <c:v>2</c:v>
                </c:pt>
                <c:pt idx="4">
                  <c:v>52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5D-4ED3-9AF9-42C1477B937D}"/>
            </c:ext>
          </c:extLst>
        </c:ser>
        <c:ser>
          <c:idx val="5"/>
          <c:order val="5"/>
          <c:tx>
            <c:strRef>
              <c:f>principal!$H$14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principal!$H$15:$H$22</c:f>
              <c:numCache>
                <c:formatCode>General</c:formatCode>
                <c:ptCount val="8"/>
                <c:pt idx="0">
                  <c:v>7</c:v>
                </c:pt>
                <c:pt idx="1">
                  <c:v>63</c:v>
                </c:pt>
                <c:pt idx="2">
                  <c:v>64</c:v>
                </c:pt>
                <c:pt idx="3">
                  <c:v>18</c:v>
                </c:pt>
                <c:pt idx="4">
                  <c:v>54</c:v>
                </c:pt>
                <c:pt idx="5">
                  <c:v>30</c:v>
                </c:pt>
                <c:pt idx="6">
                  <c:v>7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5D-4ED3-9AF9-42C1477B937D}"/>
            </c:ext>
          </c:extLst>
        </c:ser>
        <c:ser>
          <c:idx val="6"/>
          <c:order val="6"/>
          <c:tx>
            <c:strRef>
              <c:f>principal!$I$14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principal!$I$15:$I$22</c:f>
              <c:numCache>
                <c:formatCode>General</c:formatCode>
                <c:ptCount val="8"/>
                <c:pt idx="0">
                  <c:v>14</c:v>
                </c:pt>
                <c:pt idx="1">
                  <c:v>68</c:v>
                </c:pt>
                <c:pt idx="2">
                  <c:v>72</c:v>
                </c:pt>
                <c:pt idx="3">
                  <c:v>54</c:v>
                </c:pt>
                <c:pt idx="4">
                  <c:v>65</c:v>
                </c:pt>
                <c:pt idx="5">
                  <c:v>54</c:v>
                </c:pt>
                <c:pt idx="6">
                  <c:v>9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5D-4ED3-9AF9-42C1477B937D}"/>
            </c:ext>
          </c:extLst>
        </c:ser>
        <c:ser>
          <c:idx val="7"/>
          <c:order val="7"/>
          <c:tx>
            <c:strRef>
              <c:f>principal!$J$14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principal!$B$15:$B$22</c:f>
              <c:strCache>
                <c:ptCount val="8"/>
                <c:pt idx="0">
                  <c:v>T2.1</c:v>
                </c:pt>
                <c:pt idx="1">
                  <c:v>T2.3</c:v>
                </c:pt>
                <c:pt idx="2">
                  <c:v>T2.2</c:v>
                </c:pt>
                <c:pt idx="3">
                  <c:v>T2.4</c:v>
                </c:pt>
                <c:pt idx="4">
                  <c:v>T2.5</c:v>
                </c:pt>
                <c:pt idx="5">
                  <c:v>T2.8</c:v>
                </c:pt>
                <c:pt idx="6">
                  <c:v>T2.7</c:v>
                </c:pt>
                <c:pt idx="7">
                  <c:v>T2.6</c:v>
                </c:pt>
              </c:strCache>
            </c:strRef>
          </c:cat>
          <c:val>
            <c:numRef>
              <c:f>principal!$J$15:$J$22</c:f>
              <c:numCache>
                <c:formatCode>General</c:formatCode>
                <c:ptCount val="8"/>
                <c:pt idx="0">
                  <c:v>120</c:v>
                </c:pt>
                <c:pt idx="1">
                  <c:v>95</c:v>
                </c:pt>
                <c:pt idx="2">
                  <c:v>84</c:v>
                </c:pt>
                <c:pt idx="3">
                  <c:v>70</c:v>
                </c:pt>
                <c:pt idx="4">
                  <c:v>69</c:v>
                </c:pt>
                <c:pt idx="5">
                  <c:v>65</c:v>
                </c:pt>
                <c:pt idx="6">
                  <c:v>24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5D-4ED3-9AF9-42C1477B937D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399723504"/>
        <c:axId val="1399724336"/>
        <c:axId val="1543504160"/>
      </c:surfaceChart>
      <c:catAx>
        <c:axId val="139972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9724336"/>
        <c:crosses val="autoZero"/>
        <c:auto val="1"/>
        <c:lblAlgn val="ctr"/>
        <c:lblOffset val="100"/>
        <c:noMultiLvlLbl val="0"/>
      </c:catAx>
      <c:valAx>
        <c:axId val="13997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9723504"/>
        <c:crosses val="autoZero"/>
        <c:crossBetween val="midCat"/>
      </c:valAx>
      <c:serAx>
        <c:axId val="15435041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97243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Tratamento</a:t>
            </a:r>
            <a:r>
              <a:rPr lang="pt-PT" baseline="0"/>
              <a:t> Azospirillum</a:t>
            </a:r>
            <a:endParaRPr lang="pt-PT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principal!$C$26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principal!$C$27:$C$34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C-4CC3-8EA3-8CE71E735FA0}"/>
            </c:ext>
          </c:extLst>
        </c:ser>
        <c:ser>
          <c:idx val="1"/>
          <c:order val="1"/>
          <c:tx>
            <c:strRef>
              <c:f>principal!$D$26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principal!$D$27:$D$34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C-4CC3-8EA3-8CE71E735FA0}"/>
            </c:ext>
          </c:extLst>
        </c:ser>
        <c:ser>
          <c:idx val="2"/>
          <c:order val="2"/>
          <c:tx>
            <c:strRef>
              <c:f>principal!$E$26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principal!$E$27:$E$34</c:f>
              <c:numCache>
                <c:formatCode>General</c:formatCode>
                <c:ptCount val="8"/>
                <c:pt idx="0">
                  <c:v>20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3.5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C-4CC3-8EA3-8CE71E735FA0}"/>
            </c:ext>
          </c:extLst>
        </c:ser>
        <c:ser>
          <c:idx val="3"/>
          <c:order val="3"/>
          <c:tx>
            <c:strRef>
              <c:f>principal!$F$26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principal!$F$27:$F$34</c:f>
              <c:numCache>
                <c:formatCode>General</c:formatCode>
                <c:ptCount val="8"/>
                <c:pt idx="0">
                  <c:v>72</c:v>
                </c:pt>
                <c:pt idx="1">
                  <c:v>11</c:v>
                </c:pt>
                <c:pt idx="2">
                  <c:v>0</c:v>
                </c:pt>
                <c:pt idx="3">
                  <c:v>32</c:v>
                </c:pt>
                <c:pt idx="4">
                  <c:v>0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C-4CC3-8EA3-8CE71E735FA0}"/>
            </c:ext>
          </c:extLst>
        </c:ser>
        <c:ser>
          <c:idx val="4"/>
          <c:order val="4"/>
          <c:tx>
            <c:strRef>
              <c:f>principal!$G$26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principal!$G$27:$G$34</c:f>
              <c:numCache>
                <c:formatCode>General</c:formatCode>
                <c:ptCount val="8"/>
                <c:pt idx="0">
                  <c:v>74</c:v>
                </c:pt>
                <c:pt idx="1">
                  <c:v>17</c:v>
                </c:pt>
                <c:pt idx="2">
                  <c:v>3</c:v>
                </c:pt>
                <c:pt idx="3">
                  <c:v>54</c:v>
                </c:pt>
                <c:pt idx="4">
                  <c:v>3</c:v>
                </c:pt>
                <c:pt idx="5">
                  <c:v>19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FC-4CC3-8EA3-8CE71E735FA0}"/>
            </c:ext>
          </c:extLst>
        </c:ser>
        <c:ser>
          <c:idx val="5"/>
          <c:order val="5"/>
          <c:tx>
            <c:strRef>
              <c:f>principal!$H$26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principal!$H$27:$H$34</c:f>
              <c:numCache>
                <c:formatCode>General</c:formatCode>
                <c:ptCount val="8"/>
                <c:pt idx="0">
                  <c:v>78</c:v>
                </c:pt>
                <c:pt idx="1">
                  <c:v>52</c:v>
                </c:pt>
                <c:pt idx="2">
                  <c:v>9</c:v>
                </c:pt>
                <c:pt idx="3">
                  <c:v>55</c:v>
                </c:pt>
                <c:pt idx="4">
                  <c:v>32</c:v>
                </c:pt>
                <c:pt idx="5">
                  <c:v>23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FC-4CC3-8EA3-8CE71E735FA0}"/>
            </c:ext>
          </c:extLst>
        </c:ser>
        <c:ser>
          <c:idx val="6"/>
          <c:order val="6"/>
          <c:tx>
            <c:strRef>
              <c:f>principal!$I$26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principal!$I$27:$I$34</c:f>
              <c:numCache>
                <c:formatCode>General</c:formatCode>
                <c:ptCount val="8"/>
                <c:pt idx="0">
                  <c:v>83</c:v>
                </c:pt>
                <c:pt idx="1">
                  <c:v>88</c:v>
                </c:pt>
                <c:pt idx="2">
                  <c:v>61</c:v>
                </c:pt>
                <c:pt idx="3">
                  <c:v>60</c:v>
                </c:pt>
                <c:pt idx="4">
                  <c:v>45</c:v>
                </c:pt>
                <c:pt idx="5">
                  <c:v>28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FC-4CC3-8EA3-8CE71E735FA0}"/>
            </c:ext>
          </c:extLst>
        </c:ser>
        <c:ser>
          <c:idx val="7"/>
          <c:order val="7"/>
          <c:tx>
            <c:strRef>
              <c:f>principal!$J$26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principal!$J$27:$J$34</c:f>
              <c:numCache>
                <c:formatCode>General</c:formatCode>
                <c:ptCount val="8"/>
                <c:pt idx="0">
                  <c:v>100</c:v>
                </c:pt>
                <c:pt idx="1">
                  <c:v>94</c:v>
                </c:pt>
                <c:pt idx="2">
                  <c:v>88</c:v>
                </c:pt>
                <c:pt idx="3">
                  <c:v>72</c:v>
                </c:pt>
                <c:pt idx="4">
                  <c:v>53</c:v>
                </c:pt>
                <c:pt idx="5">
                  <c:v>34</c:v>
                </c:pt>
                <c:pt idx="6">
                  <c:v>23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FC-4CC3-8EA3-8CE71E735FA0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549309760"/>
        <c:axId val="1549308928"/>
        <c:axId val="1543532464"/>
      </c:surface3DChart>
      <c:catAx>
        <c:axId val="154930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08928"/>
        <c:crosses val="autoZero"/>
        <c:auto val="1"/>
        <c:lblAlgn val="ctr"/>
        <c:lblOffset val="100"/>
        <c:noMultiLvlLbl val="0"/>
      </c:catAx>
      <c:valAx>
        <c:axId val="1549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09760"/>
        <c:crosses val="autoZero"/>
        <c:crossBetween val="midCat"/>
      </c:valAx>
      <c:serAx>
        <c:axId val="15435324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089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principal!$C$26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principal!$C$27:$C$34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1-49B4-9940-C4B244053905}"/>
            </c:ext>
          </c:extLst>
        </c:ser>
        <c:ser>
          <c:idx val="1"/>
          <c:order val="1"/>
          <c:tx>
            <c:strRef>
              <c:f>principal!$D$26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principal!$D$27:$D$34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1-49B4-9940-C4B244053905}"/>
            </c:ext>
          </c:extLst>
        </c:ser>
        <c:ser>
          <c:idx val="2"/>
          <c:order val="2"/>
          <c:tx>
            <c:strRef>
              <c:f>principal!$E$26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principal!$E$27:$E$34</c:f>
              <c:numCache>
                <c:formatCode>General</c:formatCode>
                <c:ptCount val="8"/>
                <c:pt idx="0">
                  <c:v>20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3.5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1-49B4-9940-C4B244053905}"/>
            </c:ext>
          </c:extLst>
        </c:ser>
        <c:ser>
          <c:idx val="3"/>
          <c:order val="3"/>
          <c:tx>
            <c:strRef>
              <c:f>principal!$F$26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principal!$F$27:$F$34</c:f>
              <c:numCache>
                <c:formatCode>General</c:formatCode>
                <c:ptCount val="8"/>
                <c:pt idx="0">
                  <c:v>72</c:v>
                </c:pt>
                <c:pt idx="1">
                  <c:v>11</c:v>
                </c:pt>
                <c:pt idx="2">
                  <c:v>0</c:v>
                </c:pt>
                <c:pt idx="3">
                  <c:v>32</c:v>
                </c:pt>
                <c:pt idx="4">
                  <c:v>0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1-49B4-9940-C4B244053905}"/>
            </c:ext>
          </c:extLst>
        </c:ser>
        <c:ser>
          <c:idx val="4"/>
          <c:order val="4"/>
          <c:tx>
            <c:strRef>
              <c:f>principal!$G$26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principal!$G$27:$G$34</c:f>
              <c:numCache>
                <c:formatCode>General</c:formatCode>
                <c:ptCount val="8"/>
                <c:pt idx="0">
                  <c:v>74</c:v>
                </c:pt>
                <c:pt idx="1">
                  <c:v>17</c:v>
                </c:pt>
                <c:pt idx="2">
                  <c:v>3</c:v>
                </c:pt>
                <c:pt idx="3">
                  <c:v>54</c:v>
                </c:pt>
                <c:pt idx="4">
                  <c:v>3</c:v>
                </c:pt>
                <c:pt idx="5">
                  <c:v>19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B1-49B4-9940-C4B244053905}"/>
            </c:ext>
          </c:extLst>
        </c:ser>
        <c:ser>
          <c:idx val="5"/>
          <c:order val="5"/>
          <c:tx>
            <c:strRef>
              <c:f>principal!$H$26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principal!$H$27:$H$34</c:f>
              <c:numCache>
                <c:formatCode>General</c:formatCode>
                <c:ptCount val="8"/>
                <c:pt idx="0">
                  <c:v>78</c:v>
                </c:pt>
                <c:pt idx="1">
                  <c:v>52</c:v>
                </c:pt>
                <c:pt idx="2">
                  <c:v>9</c:v>
                </c:pt>
                <c:pt idx="3">
                  <c:v>55</c:v>
                </c:pt>
                <c:pt idx="4">
                  <c:v>32</c:v>
                </c:pt>
                <c:pt idx="5">
                  <c:v>23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B1-49B4-9940-C4B244053905}"/>
            </c:ext>
          </c:extLst>
        </c:ser>
        <c:ser>
          <c:idx val="6"/>
          <c:order val="6"/>
          <c:tx>
            <c:strRef>
              <c:f>principal!$I$26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principal!$I$27:$I$34</c:f>
              <c:numCache>
                <c:formatCode>General</c:formatCode>
                <c:ptCount val="8"/>
                <c:pt idx="0">
                  <c:v>83</c:v>
                </c:pt>
                <c:pt idx="1">
                  <c:v>88</c:v>
                </c:pt>
                <c:pt idx="2">
                  <c:v>61</c:v>
                </c:pt>
                <c:pt idx="3">
                  <c:v>60</c:v>
                </c:pt>
                <c:pt idx="4">
                  <c:v>45</c:v>
                </c:pt>
                <c:pt idx="5">
                  <c:v>28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B1-49B4-9940-C4B244053905}"/>
            </c:ext>
          </c:extLst>
        </c:ser>
        <c:ser>
          <c:idx val="7"/>
          <c:order val="7"/>
          <c:tx>
            <c:strRef>
              <c:f>principal!$J$26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principal!$B$27:$B$34</c:f>
              <c:strCache>
                <c:ptCount val="8"/>
                <c:pt idx="0">
                  <c:v>T3.2</c:v>
                </c:pt>
                <c:pt idx="1">
                  <c:v>T3.5</c:v>
                </c:pt>
                <c:pt idx="2">
                  <c:v>T3.8</c:v>
                </c:pt>
                <c:pt idx="3">
                  <c:v>T3.4</c:v>
                </c:pt>
                <c:pt idx="4">
                  <c:v>T3.3</c:v>
                </c:pt>
                <c:pt idx="5">
                  <c:v>T3.1</c:v>
                </c:pt>
                <c:pt idx="6">
                  <c:v>T3.6</c:v>
                </c:pt>
                <c:pt idx="7">
                  <c:v>T3.7</c:v>
                </c:pt>
              </c:strCache>
            </c:strRef>
          </c:cat>
          <c:val>
            <c:numRef>
              <c:f>principal!$J$27:$J$34</c:f>
              <c:numCache>
                <c:formatCode>General</c:formatCode>
                <c:ptCount val="8"/>
                <c:pt idx="0">
                  <c:v>100</c:v>
                </c:pt>
                <c:pt idx="1">
                  <c:v>94</c:v>
                </c:pt>
                <c:pt idx="2">
                  <c:v>88</c:v>
                </c:pt>
                <c:pt idx="3">
                  <c:v>72</c:v>
                </c:pt>
                <c:pt idx="4">
                  <c:v>53</c:v>
                </c:pt>
                <c:pt idx="5">
                  <c:v>34</c:v>
                </c:pt>
                <c:pt idx="6">
                  <c:v>23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B1-49B4-9940-C4B24405390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543399968"/>
        <c:axId val="1543400384"/>
        <c:axId val="1297986720"/>
      </c:surfaceChart>
      <c:catAx>
        <c:axId val="154339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3400384"/>
        <c:crosses val="autoZero"/>
        <c:auto val="1"/>
        <c:lblAlgn val="ctr"/>
        <c:lblOffset val="100"/>
        <c:noMultiLvlLbl val="0"/>
      </c:catAx>
      <c:valAx>
        <c:axId val="154340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3399968"/>
        <c:crosses val="autoZero"/>
        <c:crossBetween val="midCat"/>
      </c:valAx>
      <c:serAx>
        <c:axId val="1297986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340038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Tratamento FMA + AZO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principal!$C$38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principal!$C$39:$C$45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1-4AC3-BCDA-ACBA7D31E222}"/>
            </c:ext>
          </c:extLst>
        </c:ser>
        <c:ser>
          <c:idx val="1"/>
          <c:order val="1"/>
          <c:tx>
            <c:strRef>
              <c:f>principal!$D$38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principal!$D$39:$D$45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1-4AC3-BCDA-ACBA7D31E222}"/>
            </c:ext>
          </c:extLst>
        </c:ser>
        <c:ser>
          <c:idx val="2"/>
          <c:order val="2"/>
          <c:tx>
            <c:strRef>
              <c:f>principal!$E$38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principal!$E$39:$E$45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1-4AC3-BCDA-ACBA7D31E222}"/>
            </c:ext>
          </c:extLst>
        </c:ser>
        <c:ser>
          <c:idx val="3"/>
          <c:order val="3"/>
          <c:tx>
            <c:strRef>
              <c:f>principal!$F$38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principal!$F$39:$F$45</c:f>
              <c:numCache>
                <c:formatCode>General</c:formatCode>
                <c:ptCount val="7"/>
                <c:pt idx="0">
                  <c:v>30</c:v>
                </c:pt>
                <c:pt idx="1">
                  <c:v>43</c:v>
                </c:pt>
                <c:pt idx="2">
                  <c:v>42</c:v>
                </c:pt>
                <c:pt idx="3">
                  <c:v>23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C1-4AC3-BCDA-ACBA7D31E222}"/>
            </c:ext>
          </c:extLst>
        </c:ser>
        <c:ser>
          <c:idx val="4"/>
          <c:order val="4"/>
          <c:tx>
            <c:strRef>
              <c:f>principal!$G$38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principal!$G$39:$G$45</c:f>
              <c:numCache>
                <c:formatCode>General</c:formatCode>
                <c:ptCount val="7"/>
                <c:pt idx="0">
                  <c:v>63</c:v>
                </c:pt>
                <c:pt idx="1">
                  <c:v>62</c:v>
                </c:pt>
                <c:pt idx="2">
                  <c:v>47</c:v>
                </c:pt>
                <c:pt idx="3">
                  <c:v>43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C1-4AC3-BCDA-ACBA7D31E222}"/>
            </c:ext>
          </c:extLst>
        </c:ser>
        <c:ser>
          <c:idx val="5"/>
          <c:order val="5"/>
          <c:tx>
            <c:strRef>
              <c:f>principal!$H$38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principal!$H$39:$H$45</c:f>
              <c:numCache>
                <c:formatCode>General</c:formatCode>
                <c:ptCount val="7"/>
                <c:pt idx="0">
                  <c:v>64</c:v>
                </c:pt>
                <c:pt idx="1">
                  <c:v>64</c:v>
                </c:pt>
                <c:pt idx="2">
                  <c:v>48</c:v>
                </c:pt>
                <c:pt idx="3">
                  <c:v>49</c:v>
                </c:pt>
                <c:pt idx="4">
                  <c:v>24</c:v>
                </c:pt>
                <c:pt idx="5">
                  <c:v>11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C1-4AC3-BCDA-ACBA7D31E222}"/>
            </c:ext>
          </c:extLst>
        </c:ser>
        <c:ser>
          <c:idx val="6"/>
          <c:order val="6"/>
          <c:tx>
            <c:strRef>
              <c:f>principal!$I$38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principal!$I$39:$I$45</c:f>
              <c:numCache>
                <c:formatCode>General</c:formatCode>
                <c:ptCount val="7"/>
                <c:pt idx="0">
                  <c:v>75</c:v>
                </c:pt>
                <c:pt idx="1">
                  <c:v>74</c:v>
                </c:pt>
                <c:pt idx="2">
                  <c:v>59</c:v>
                </c:pt>
                <c:pt idx="3">
                  <c:v>60</c:v>
                </c:pt>
                <c:pt idx="4">
                  <c:v>48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C1-4AC3-BCDA-ACBA7D31E222}"/>
            </c:ext>
          </c:extLst>
        </c:ser>
        <c:ser>
          <c:idx val="7"/>
          <c:order val="7"/>
          <c:tx>
            <c:strRef>
              <c:f>principal!$J$38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principal!$J$39:$J$45</c:f>
              <c:numCache>
                <c:formatCode>General</c:formatCode>
                <c:ptCount val="7"/>
                <c:pt idx="0">
                  <c:v>90</c:v>
                </c:pt>
                <c:pt idx="1">
                  <c:v>89</c:v>
                </c:pt>
                <c:pt idx="2">
                  <c:v>79</c:v>
                </c:pt>
                <c:pt idx="3">
                  <c:v>71</c:v>
                </c:pt>
                <c:pt idx="4">
                  <c:v>57</c:v>
                </c:pt>
                <c:pt idx="5">
                  <c:v>36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C1-4AC3-BCDA-ACBA7D31E22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406605360"/>
        <c:axId val="1406602448"/>
        <c:axId val="1546745792"/>
      </c:surface3DChart>
      <c:catAx>
        <c:axId val="140660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6602448"/>
        <c:crosses val="autoZero"/>
        <c:auto val="1"/>
        <c:lblAlgn val="ctr"/>
        <c:lblOffset val="100"/>
        <c:noMultiLvlLbl val="0"/>
      </c:catAx>
      <c:valAx>
        <c:axId val="14066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6605360"/>
        <c:crosses val="autoZero"/>
        <c:crossBetween val="midCat"/>
      </c:valAx>
      <c:serAx>
        <c:axId val="1546745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66024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principal!$C$38</c:f>
              <c:strCache>
                <c:ptCount val="1"/>
                <c:pt idx="0">
                  <c:v>Dia 27/05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principal!$C$39:$C$45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4-466B-850F-72222B3F591A}"/>
            </c:ext>
          </c:extLst>
        </c:ser>
        <c:ser>
          <c:idx val="1"/>
          <c:order val="1"/>
          <c:tx>
            <c:strRef>
              <c:f>principal!$D$38</c:f>
              <c:strCache>
                <c:ptCount val="1"/>
                <c:pt idx="0">
                  <c:v>Dia 02/06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principal!$D$39:$D$45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4-466B-850F-72222B3F591A}"/>
            </c:ext>
          </c:extLst>
        </c:ser>
        <c:ser>
          <c:idx val="2"/>
          <c:order val="2"/>
          <c:tx>
            <c:strRef>
              <c:f>principal!$E$38</c:f>
              <c:strCache>
                <c:ptCount val="1"/>
                <c:pt idx="0">
                  <c:v>Dia 10/06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principal!$E$39:$E$45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4-466B-850F-72222B3F591A}"/>
            </c:ext>
          </c:extLst>
        </c:ser>
        <c:ser>
          <c:idx val="3"/>
          <c:order val="3"/>
          <c:tx>
            <c:strRef>
              <c:f>principal!$F$38</c:f>
              <c:strCache>
                <c:ptCount val="1"/>
                <c:pt idx="0">
                  <c:v>Dia 17/06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principal!$F$39:$F$45</c:f>
              <c:numCache>
                <c:formatCode>General</c:formatCode>
                <c:ptCount val="7"/>
                <c:pt idx="0">
                  <c:v>30</c:v>
                </c:pt>
                <c:pt idx="1">
                  <c:v>43</c:v>
                </c:pt>
                <c:pt idx="2">
                  <c:v>42</c:v>
                </c:pt>
                <c:pt idx="3">
                  <c:v>23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4-466B-850F-72222B3F591A}"/>
            </c:ext>
          </c:extLst>
        </c:ser>
        <c:ser>
          <c:idx val="4"/>
          <c:order val="4"/>
          <c:tx>
            <c:strRef>
              <c:f>principal!$G$38</c:f>
              <c:strCache>
                <c:ptCount val="1"/>
                <c:pt idx="0">
                  <c:v>Dia 20/06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principal!$G$39:$G$45</c:f>
              <c:numCache>
                <c:formatCode>General</c:formatCode>
                <c:ptCount val="7"/>
                <c:pt idx="0">
                  <c:v>63</c:v>
                </c:pt>
                <c:pt idx="1">
                  <c:v>62</c:v>
                </c:pt>
                <c:pt idx="2">
                  <c:v>47</c:v>
                </c:pt>
                <c:pt idx="3">
                  <c:v>43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D4-466B-850F-72222B3F591A}"/>
            </c:ext>
          </c:extLst>
        </c:ser>
        <c:ser>
          <c:idx val="5"/>
          <c:order val="5"/>
          <c:tx>
            <c:strRef>
              <c:f>principal!$H$38</c:f>
              <c:strCache>
                <c:ptCount val="1"/>
                <c:pt idx="0">
                  <c:v>Dia 5/07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principal!$H$39:$H$45</c:f>
              <c:numCache>
                <c:formatCode>General</c:formatCode>
                <c:ptCount val="7"/>
                <c:pt idx="0">
                  <c:v>64</c:v>
                </c:pt>
                <c:pt idx="1">
                  <c:v>64</c:v>
                </c:pt>
                <c:pt idx="2">
                  <c:v>48</c:v>
                </c:pt>
                <c:pt idx="3">
                  <c:v>49</c:v>
                </c:pt>
                <c:pt idx="4">
                  <c:v>24</c:v>
                </c:pt>
                <c:pt idx="5">
                  <c:v>11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D4-466B-850F-72222B3F591A}"/>
            </c:ext>
          </c:extLst>
        </c:ser>
        <c:ser>
          <c:idx val="6"/>
          <c:order val="6"/>
          <c:tx>
            <c:strRef>
              <c:f>principal!$I$38</c:f>
              <c:strCache>
                <c:ptCount val="1"/>
                <c:pt idx="0">
                  <c:v>Dia 16/07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principal!$I$39:$I$45</c:f>
              <c:numCache>
                <c:formatCode>General</c:formatCode>
                <c:ptCount val="7"/>
                <c:pt idx="0">
                  <c:v>75</c:v>
                </c:pt>
                <c:pt idx="1">
                  <c:v>74</c:v>
                </c:pt>
                <c:pt idx="2">
                  <c:v>59</c:v>
                </c:pt>
                <c:pt idx="3">
                  <c:v>60</c:v>
                </c:pt>
                <c:pt idx="4">
                  <c:v>48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D4-466B-850F-72222B3F591A}"/>
            </c:ext>
          </c:extLst>
        </c:ser>
        <c:ser>
          <c:idx val="7"/>
          <c:order val="7"/>
          <c:tx>
            <c:strRef>
              <c:f>principal!$J$38</c:f>
              <c:strCache>
                <c:ptCount val="1"/>
                <c:pt idx="0">
                  <c:v>Dia 22/07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principal!$B$39:$B$45</c:f>
              <c:strCache>
                <c:ptCount val="7"/>
                <c:pt idx="0">
                  <c:v>T4.6</c:v>
                </c:pt>
                <c:pt idx="1">
                  <c:v>T4.3</c:v>
                </c:pt>
                <c:pt idx="2">
                  <c:v>T4.7</c:v>
                </c:pt>
                <c:pt idx="3">
                  <c:v>T4.5</c:v>
                </c:pt>
                <c:pt idx="4">
                  <c:v>T4.8</c:v>
                </c:pt>
                <c:pt idx="5">
                  <c:v>T4.4</c:v>
                </c:pt>
                <c:pt idx="6">
                  <c:v>T4.2</c:v>
                </c:pt>
              </c:strCache>
            </c:strRef>
          </c:cat>
          <c:val>
            <c:numRef>
              <c:f>principal!$J$39:$J$45</c:f>
              <c:numCache>
                <c:formatCode>General</c:formatCode>
                <c:ptCount val="7"/>
                <c:pt idx="0">
                  <c:v>90</c:v>
                </c:pt>
                <c:pt idx="1">
                  <c:v>89</c:v>
                </c:pt>
                <c:pt idx="2">
                  <c:v>79</c:v>
                </c:pt>
                <c:pt idx="3">
                  <c:v>71</c:v>
                </c:pt>
                <c:pt idx="4">
                  <c:v>57</c:v>
                </c:pt>
                <c:pt idx="5">
                  <c:v>36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D4-466B-850F-72222B3F591A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549308512"/>
        <c:axId val="1549314336"/>
        <c:axId val="1407114032"/>
      </c:surfaceChart>
      <c:catAx>
        <c:axId val="15493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14336"/>
        <c:crosses val="autoZero"/>
        <c:auto val="1"/>
        <c:lblAlgn val="ctr"/>
        <c:lblOffset val="100"/>
        <c:noMultiLvlLbl val="0"/>
      </c:catAx>
      <c:valAx>
        <c:axId val="15493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08512"/>
        <c:crosses val="autoZero"/>
        <c:crossBetween val="midCat"/>
      </c:valAx>
      <c:serAx>
        <c:axId val="1407114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93143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Grafico Bifatorial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1"/>
          <c:order val="0"/>
          <c:tx>
            <c:strRef>
              <c:f>principal!$P$2</c:f>
              <c:strCache>
                <c:ptCount val="1"/>
                <c:pt idx="0">
                  <c:v>Sem FMA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principal!$N$3:$N$4</c:f>
              <c:strCache>
                <c:ptCount val="2"/>
                <c:pt idx="0">
                  <c:v>Com Azo</c:v>
                </c:pt>
                <c:pt idx="1">
                  <c:v>Sem Azo</c:v>
                </c:pt>
              </c:strCache>
            </c:strRef>
          </c:cat>
          <c:val>
            <c:numRef>
              <c:f>principal!$P$3:$P$4</c:f>
              <c:numCache>
                <c:formatCode>General</c:formatCode>
                <c:ptCount val="2"/>
                <c:pt idx="0">
                  <c:v>62.5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C-4436-9AEA-6BB99F99ABB0}"/>
            </c:ext>
          </c:extLst>
        </c:ser>
        <c:ser>
          <c:idx val="0"/>
          <c:order val="1"/>
          <c:tx>
            <c:strRef>
              <c:f>principal!$O$2</c:f>
              <c:strCache>
                <c:ptCount val="1"/>
                <c:pt idx="0">
                  <c:v>Com FMA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principal!$N$3:$N$4</c:f>
              <c:strCache>
                <c:ptCount val="2"/>
                <c:pt idx="0">
                  <c:v>Com Azo</c:v>
                </c:pt>
                <c:pt idx="1">
                  <c:v>Sem Azo</c:v>
                </c:pt>
              </c:strCache>
            </c:strRef>
          </c:cat>
          <c:val>
            <c:numRef>
              <c:f>principal!$O$3:$O$4</c:f>
              <c:numCache>
                <c:formatCode>General</c:formatCode>
                <c:ptCount val="2"/>
                <c:pt idx="0">
                  <c:v>71</c:v>
                </c:pt>
                <c:pt idx="1">
                  <c:v>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C-4436-9AEA-6BB99F99AB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99725168"/>
        <c:axId val="1399723920"/>
        <c:axId val="1462810736"/>
      </c:bar3DChart>
      <c:catAx>
        <c:axId val="139972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Azospirillum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9723920"/>
        <c:crosses val="autoZero"/>
        <c:auto val="1"/>
        <c:lblAlgn val="ctr"/>
        <c:lblOffset val="100"/>
        <c:noMultiLvlLbl val="0"/>
      </c:catAx>
      <c:valAx>
        <c:axId val="13997239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99725168"/>
        <c:crosses val="autoZero"/>
        <c:crossBetween val="between"/>
      </c:valAx>
      <c:serAx>
        <c:axId val="1462810736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972392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25400</xdr:rowOff>
    </xdr:from>
    <xdr:to>
      <xdr:col>8</xdr:col>
      <xdr:colOff>304800</xdr:colOff>
      <xdr:row>18</xdr:row>
      <xdr:rowOff>59267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7CEEEEF-378B-4F01-8477-861283F52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33866</xdr:rowOff>
    </xdr:from>
    <xdr:to>
      <xdr:col>8</xdr:col>
      <xdr:colOff>304800</xdr:colOff>
      <xdr:row>34</xdr:row>
      <xdr:rowOff>67733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D335D7E-B0D4-4748-9C34-1592BE957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16932</xdr:rowOff>
    </xdr:from>
    <xdr:to>
      <xdr:col>17</xdr:col>
      <xdr:colOff>304800</xdr:colOff>
      <xdr:row>18</xdr:row>
      <xdr:rowOff>50799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5DC373-D3E8-4C4A-A0DA-C3D1E1E70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42333</xdr:rowOff>
    </xdr:from>
    <xdr:to>
      <xdr:col>17</xdr:col>
      <xdr:colOff>304800</xdr:colOff>
      <xdr:row>34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9DEE20F-3014-49D8-ADFD-41BECBFB2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601133</xdr:colOff>
      <xdr:row>37</xdr:row>
      <xdr:rowOff>76200</xdr:rowOff>
    </xdr:from>
    <xdr:to>
      <xdr:col>8</xdr:col>
      <xdr:colOff>296333</xdr:colOff>
      <xdr:row>53</xdr:row>
      <xdr:rowOff>110066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1993900-6268-4391-AC1E-53C05C0C1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601133</xdr:colOff>
      <xdr:row>53</xdr:row>
      <xdr:rowOff>76200</xdr:rowOff>
    </xdr:from>
    <xdr:to>
      <xdr:col>8</xdr:col>
      <xdr:colOff>296333</xdr:colOff>
      <xdr:row>69</xdr:row>
      <xdr:rowOff>110067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CF89BCF-3384-4099-ACEE-C8D4B897B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8466</xdr:colOff>
      <xdr:row>37</xdr:row>
      <xdr:rowOff>76201</xdr:rowOff>
    </xdr:from>
    <xdr:to>
      <xdr:col>17</xdr:col>
      <xdr:colOff>313266</xdr:colOff>
      <xdr:row>53</xdr:row>
      <xdr:rowOff>110067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C8F002DE-F1D5-4F89-A0B5-7B110FEB6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53</xdr:row>
      <xdr:rowOff>84666</xdr:rowOff>
    </xdr:from>
    <xdr:to>
      <xdr:col>17</xdr:col>
      <xdr:colOff>304800</xdr:colOff>
      <xdr:row>69</xdr:row>
      <xdr:rowOff>118533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B3BBD2F-E955-4471-B061-BE6FA71C1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584200</xdr:colOff>
      <xdr:row>2</xdr:row>
      <xdr:rowOff>59266</xdr:rowOff>
    </xdr:from>
    <xdr:to>
      <xdr:col>25</xdr:col>
      <xdr:colOff>279400</xdr:colOff>
      <xdr:row>18</xdr:row>
      <xdr:rowOff>93133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433054B-A661-4ACD-A5F9-497C11B1E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162713</xdr:colOff>
      <xdr:row>13</xdr:row>
      <xdr:rowOff>127910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CCE61F-58A2-B53F-5D9F-E8997FDB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5280"/>
          <a:ext cx="5649113" cy="1971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11</xdr:col>
      <xdr:colOff>381904</xdr:colOff>
      <xdr:row>49</xdr:row>
      <xdr:rowOff>73196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35E18B-2F30-DB8F-F892-51D77622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14600"/>
          <a:ext cx="6477904" cy="577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515358</xdr:colOff>
      <xdr:row>25</xdr:row>
      <xdr:rowOff>10111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6A04D8-0A46-C0B3-667D-B43CA75DB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20958" cy="42011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315390</xdr:colOff>
      <xdr:row>25</xdr:row>
      <xdr:rowOff>114901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08AABB-0AB8-7849-B067-6CDF50D0E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30590" cy="43059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77232</xdr:colOff>
      <xdr:row>27</xdr:row>
      <xdr:rowOff>76796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E3939D-3AA2-9FE4-5E97-B0769ABF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280"/>
          <a:ext cx="7392432" cy="42677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156210</xdr:colOff>
      <xdr:row>0</xdr:row>
      <xdr:rowOff>144780</xdr:rowOff>
    </xdr:from>
    <xdr:ext cx="6324600" cy="3524250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56210" y="144780"/>
          <a:ext cx="6324600" cy="3524250"/>
          <a:chOff x="589850" y="372525"/>
          <a:chExt cx="6301500" cy="35094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589850" y="372525"/>
            <a:ext cx="6301500" cy="35094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6960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6960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6960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/>
        </xdr:nvSpPr>
        <xdr:spPr>
          <a:xfrm>
            <a:off x="6960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/>
        </xdr:nvSpPr>
        <xdr:spPr>
          <a:xfrm>
            <a:off x="14313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4313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4313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4313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22306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22306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22306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/>
        </xdr:nvSpPr>
        <xdr:spPr>
          <a:xfrm>
            <a:off x="22306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29659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29659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29659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>
          <a:xfrm>
            <a:off x="29659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37652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>
          <a:xfrm>
            <a:off x="37652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37652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37652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/>
        </xdr:nvSpPr>
        <xdr:spPr>
          <a:xfrm>
            <a:off x="45005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/>
        </xdr:nvSpPr>
        <xdr:spPr>
          <a:xfrm>
            <a:off x="45005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5005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45005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52998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52998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/>
        </xdr:nvSpPr>
        <xdr:spPr>
          <a:xfrm>
            <a:off x="52998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52998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6035100" y="4607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/>
        </xdr:nvSpPr>
        <xdr:spPr>
          <a:xfrm>
            <a:off x="6035100" y="11273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6035100" y="17939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>
          <a:xfrm>
            <a:off x="6035100" y="2460525"/>
            <a:ext cx="735300" cy="6666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 txBox="1"/>
        </xdr:nvSpPr>
        <xdr:spPr>
          <a:xfrm>
            <a:off x="1272350" y="3127125"/>
            <a:ext cx="484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</a:t>
            </a:r>
            <a:endParaRPr sz="1400"/>
          </a:p>
        </xdr:txBody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 txBox="1"/>
        </xdr:nvSpPr>
        <xdr:spPr>
          <a:xfrm>
            <a:off x="2765225" y="3127125"/>
            <a:ext cx="484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</a:t>
            </a:r>
            <a:endParaRPr sz="1400"/>
          </a:p>
        </xdr:txBody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 txBox="1"/>
        </xdr:nvSpPr>
        <xdr:spPr>
          <a:xfrm>
            <a:off x="4258100" y="3127125"/>
            <a:ext cx="484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</a:t>
            </a:r>
            <a:endParaRPr sz="1400"/>
          </a:p>
        </xdr:txBody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 txBox="1"/>
        </xdr:nvSpPr>
        <xdr:spPr>
          <a:xfrm>
            <a:off x="5750975" y="3127125"/>
            <a:ext cx="484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</a:t>
            </a:r>
            <a:endParaRPr sz="1400"/>
          </a:p>
        </xdr:txBody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/>
        </xdr:nvSpPr>
        <xdr:spPr>
          <a:xfrm>
            <a:off x="757100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T1.1</a:t>
            </a:r>
            <a:endParaRPr sz="1400"/>
          </a:p>
        </xdr:txBody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SpPr txBox="1"/>
        </xdr:nvSpPr>
        <xdr:spPr>
          <a:xfrm>
            <a:off x="1493850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T1.5</a:t>
            </a:r>
            <a:endParaRPr sz="1400"/>
          </a:p>
        </xdr:txBody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 txBox="1"/>
        </xdr:nvSpPr>
        <xdr:spPr>
          <a:xfrm>
            <a:off x="757100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T1.2</a:t>
            </a:r>
            <a:endParaRPr sz="1400"/>
          </a:p>
        </xdr:txBody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SpPr txBox="1"/>
        </xdr:nvSpPr>
        <xdr:spPr>
          <a:xfrm>
            <a:off x="1525850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T1.6</a:t>
            </a:r>
            <a:endParaRPr sz="1400"/>
          </a:p>
        </xdr:txBody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 txBox="1"/>
        </xdr:nvSpPr>
        <xdr:spPr>
          <a:xfrm>
            <a:off x="1493850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T1.7</a:t>
            </a:r>
            <a:endParaRPr sz="1400"/>
          </a:p>
        </xdr:txBody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 txBox="1"/>
        </xdr:nvSpPr>
        <xdr:spPr>
          <a:xfrm>
            <a:off x="757100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T1.3</a:t>
            </a:r>
            <a:endParaRPr sz="1400"/>
          </a:p>
        </xdr:txBody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 txBox="1"/>
        </xdr:nvSpPr>
        <xdr:spPr>
          <a:xfrm>
            <a:off x="757100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T1.4</a:t>
            </a:r>
            <a:endParaRPr sz="1400"/>
          </a:p>
        </xdr:txBody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 txBox="1"/>
        </xdr:nvSpPr>
        <xdr:spPr>
          <a:xfrm>
            <a:off x="1493850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T1.8</a:t>
            </a:r>
            <a:endParaRPr sz="1400"/>
          </a:p>
        </xdr:txBody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 txBox="1"/>
        </xdr:nvSpPr>
        <xdr:spPr>
          <a:xfrm>
            <a:off x="2276425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T2.1</a:t>
            </a:r>
            <a:endParaRPr sz="1400"/>
          </a:p>
        </xdr:txBody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 txBox="1"/>
        </xdr:nvSpPr>
        <xdr:spPr>
          <a:xfrm>
            <a:off x="3013175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T2.5</a:t>
            </a:r>
            <a:endParaRPr sz="1400"/>
          </a:p>
        </xdr:txBody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 txBox="1"/>
        </xdr:nvSpPr>
        <xdr:spPr>
          <a:xfrm>
            <a:off x="2276425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T2.2</a:t>
            </a:r>
            <a:endParaRPr sz="1400"/>
          </a:p>
        </xdr:txBody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 txBox="1"/>
        </xdr:nvSpPr>
        <xdr:spPr>
          <a:xfrm>
            <a:off x="3045175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T2.6</a:t>
            </a:r>
            <a:endParaRPr sz="1400"/>
          </a:p>
        </xdr:txBody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 txBox="1"/>
        </xdr:nvSpPr>
        <xdr:spPr>
          <a:xfrm>
            <a:off x="3013175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T2.7</a:t>
            </a:r>
            <a:endParaRPr sz="1400"/>
          </a:p>
        </xdr:txBody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 txBox="1"/>
        </xdr:nvSpPr>
        <xdr:spPr>
          <a:xfrm>
            <a:off x="2276425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T2.3</a:t>
            </a:r>
            <a:endParaRPr sz="1400"/>
          </a:p>
        </xdr:txBody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 txBox="1"/>
        </xdr:nvSpPr>
        <xdr:spPr>
          <a:xfrm>
            <a:off x="2276425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T2.4</a:t>
            </a:r>
            <a:endParaRPr sz="1400"/>
          </a:p>
        </xdr:txBody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 txBox="1"/>
        </xdr:nvSpPr>
        <xdr:spPr>
          <a:xfrm>
            <a:off x="3013175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T2.8</a:t>
            </a:r>
            <a:endParaRPr sz="1400"/>
          </a:p>
        </xdr:txBody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SpPr txBox="1"/>
        </xdr:nvSpPr>
        <xdr:spPr>
          <a:xfrm>
            <a:off x="3856850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T3.1</a:t>
            </a:r>
            <a:endParaRPr sz="1400"/>
          </a:p>
        </xdr:txBody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SpPr txBox="1"/>
        </xdr:nvSpPr>
        <xdr:spPr>
          <a:xfrm>
            <a:off x="4593600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T3.5</a:t>
            </a:r>
            <a:endParaRPr sz="1400"/>
          </a:p>
        </xdr:txBody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 txBox="1"/>
        </xdr:nvSpPr>
        <xdr:spPr>
          <a:xfrm>
            <a:off x="3856850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T3.2</a:t>
            </a:r>
            <a:endParaRPr sz="1400"/>
          </a:p>
        </xdr:txBody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SpPr txBox="1"/>
        </xdr:nvSpPr>
        <xdr:spPr>
          <a:xfrm>
            <a:off x="4625600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T3.6</a:t>
            </a:r>
            <a:endParaRPr sz="1400"/>
          </a:p>
        </xdr:txBody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 txBox="1"/>
        </xdr:nvSpPr>
        <xdr:spPr>
          <a:xfrm>
            <a:off x="4593600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T3.7</a:t>
            </a:r>
            <a:endParaRPr sz="1400"/>
          </a:p>
        </xdr:txBody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SpPr txBox="1"/>
        </xdr:nvSpPr>
        <xdr:spPr>
          <a:xfrm>
            <a:off x="3856850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T3.3</a:t>
            </a:r>
            <a:endParaRPr sz="1400"/>
          </a:p>
        </xdr:txBody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 txBox="1"/>
        </xdr:nvSpPr>
        <xdr:spPr>
          <a:xfrm>
            <a:off x="3856850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T3.4</a:t>
            </a:r>
            <a:endParaRPr sz="1400"/>
          </a:p>
        </xdr:txBody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SpPr txBox="1"/>
        </xdr:nvSpPr>
        <xdr:spPr>
          <a:xfrm>
            <a:off x="4593600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T3.8</a:t>
            </a:r>
            <a:endParaRPr sz="1400"/>
          </a:p>
        </xdr:txBody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SpPr txBox="1"/>
        </xdr:nvSpPr>
        <xdr:spPr>
          <a:xfrm>
            <a:off x="5379075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T4.1</a:t>
            </a:r>
            <a:endParaRPr sz="1400"/>
          </a:p>
        </xdr:txBody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 txBox="1"/>
        </xdr:nvSpPr>
        <xdr:spPr>
          <a:xfrm>
            <a:off x="6115825" y="25937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T4.5</a:t>
            </a:r>
            <a:endParaRPr sz="1400"/>
          </a:p>
        </xdr:txBody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 txBox="1"/>
        </xdr:nvSpPr>
        <xdr:spPr>
          <a:xfrm>
            <a:off x="5379075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T4.2</a:t>
            </a:r>
            <a:endParaRPr sz="1400"/>
          </a:p>
        </xdr:txBody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SpPr txBox="1"/>
        </xdr:nvSpPr>
        <xdr:spPr>
          <a:xfrm>
            <a:off x="6147825" y="19271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T4.6</a:t>
            </a:r>
            <a:endParaRPr sz="1400"/>
          </a:p>
        </xdr:txBody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SpPr txBox="1"/>
        </xdr:nvSpPr>
        <xdr:spPr>
          <a:xfrm>
            <a:off x="6115825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T4.7</a:t>
            </a:r>
            <a:endParaRPr sz="1400"/>
          </a:p>
        </xdr:txBody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 txBox="1"/>
        </xdr:nvSpPr>
        <xdr:spPr>
          <a:xfrm>
            <a:off x="5379075" y="12605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T4.3</a:t>
            </a:r>
            <a:endParaRPr sz="1400"/>
          </a:p>
        </xdr:txBody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SpPr txBox="1"/>
        </xdr:nvSpPr>
        <xdr:spPr>
          <a:xfrm>
            <a:off x="5379075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T4.4</a:t>
            </a:r>
            <a:endParaRPr sz="1400"/>
          </a:p>
        </xdr:txBody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SpPr txBox="1"/>
        </xdr:nvSpPr>
        <xdr:spPr>
          <a:xfrm>
            <a:off x="6115825" y="593925"/>
            <a:ext cx="6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T4.8</a:t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opLeftCell="F1" zoomScaleNormal="100" workbookViewId="0">
      <selection activeCell="P5" sqref="P5"/>
    </sheetView>
  </sheetViews>
  <sheetFormatPr defaultColWidth="12.6640625" defaultRowHeight="15.75" customHeight="1" x14ac:dyDescent="0.25"/>
  <cols>
    <col min="1" max="1" width="15.5546875" bestFit="1" customWidth="1"/>
    <col min="9" max="9" width="15.6640625" bestFit="1" customWidth="1"/>
    <col min="11" max="11" width="18.6640625" bestFit="1" customWidth="1"/>
    <col min="12" max="12" width="14.33203125" customWidth="1"/>
    <col min="16" max="16" width="18.6640625" bestFit="1" customWidth="1"/>
  </cols>
  <sheetData>
    <row r="1" spans="1:17" ht="15.75" customHeight="1" x14ac:dyDescent="0.25">
      <c r="A1" s="71" t="s">
        <v>125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7" ht="13.2" x14ac:dyDescent="0.25">
      <c r="B2" s="1"/>
      <c r="C2" s="7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69" t="s">
        <v>6</v>
      </c>
      <c r="J2" s="70" t="s">
        <v>119</v>
      </c>
      <c r="N2" s="12"/>
      <c r="O2" s="17" t="s">
        <v>127</v>
      </c>
      <c r="P2" s="17" t="s">
        <v>128</v>
      </c>
    </row>
    <row r="3" spans="1:17" ht="13.2" x14ac:dyDescent="0.25">
      <c r="A3" s="43" t="s">
        <v>120</v>
      </c>
      <c r="B3" s="3" t="s">
        <v>7</v>
      </c>
      <c r="C3" s="5">
        <v>0</v>
      </c>
      <c r="D3" s="5">
        <v>2</v>
      </c>
      <c r="E3" s="5">
        <v>22</v>
      </c>
      <c r="F3" s="5">
        <v>61</v>
      </c>
      <c r="G3" s="5">
        <v>64</v>
      </c>
      <c r="H3" s="5">
        <v>67</v>
      </c>
      <c r="I3" s="63">
        <v>68</v>
      </c>
      <c r="J3" s="64">
        <v>90</v>
      </c>
      <c r="N3" s="17" t="s">
        <v>126</v>
      </c>
      <c r="O3" s="13">
        <v>71</v>
      </c>
      <c r="P3" s="12">
        <v>62.5</v>
      </c>
    </row>
    <row r="4" spans="1:17" ht="13.2" x14ac:dyDescent="0.25">
      <c r="A4" s="43"/>
      <c r="B4" s="5" t="s">
        <v>8</v>
      </c>
      <c r="C4" s="5">
        <v>0</v>
      </c>
      <c r="D4" s="5">
        <v>0</v>
      </c>
      <c r="E4" s="5">
        <v>0</v>
      </c>
      <c r="F4" s="5">
        <v>4</v>
      </c>
      <c r="G4" s="5">
        <v>7</v>
      </c>
      <c r="H4" s="5">
        <v>53</v>
      </c>
      <c r="I4" s="63">
        <v>65</v>
      </c>
      <c r="J4" s="64">
        <v>70</v>
      </c>
      <c r="N4" s="17" t="s">
        <v>129</v>
      </c>
      <c r="O4" s="13">
        <v>69.5</v>
      </c>
      <c r="P4" s="12">
        <v>40</v>
      </c>
    </row>
    <row r="5" spans="1:17" ht="13.2" x14ac:dyDescent="0.25">
      <c r="A5" s="43"/>
      <c r="B5" s="5" t="s">
        <v>9</v>
      </c>
      <c r="C5" s="5">
        <v>1</v>
      </c>
      <c r="D5" s="5">
        <v>6</v>
      </c>
      <c r="E5" s="5">
        <v>28</v>
      </c>
      <c r="F5" s="5">
        <v>48</v>
      </c>
      <c r="G5" s="5">
        <v>50</v>
      </c>
      <c r="H5" s="5">
        <v>54</v>
      </c>
      <c r="I5" s="63">
        <v>56</v>
      </c>
      <c r="J5" s="64">
        <v>59</v>
      </c>
    </row>
    <row r="6" spans="1:17" ht="13.2" x14ac:dyDescent="0.25">
      <c r="A6" s="43"/>
      <c r="B6" s="5" t="s">
        <v>10</v>
      </c>
      <c r="C6" s="5">
        <v>0</v>
      </c>
      <c r="D6" s="5">
        <v>0</v>
      </c>
      <c r="E6" s="5">
        <v>0</v>
      </c>
      <c r="F6" s="5">
        <v>2</v>
      </c>
      <c r="G6" s="5">
        <v>5</v>
      </c>
      <c r="H6" s="5">
        <v>30</v>
      </c>
      <c r="I6" s="63">
        <v>53</v>
      </c>
      <c r="J6" s="64">
        <v>53</v>
      </c>
      <c r="N6" s="12"/>
      <c r="O6" s="13" t="s">
        <v>39</v>
      </c>
      <c r="P6" s="17" t="s">
        <v>124</v>
      </c>
      <c r="Q6" s="12" t="s">
        <v>63</v>
      </c>
    </row>
    <row r="7" spans="1:17" ht="13.2" x14ac:dyDescent="0.25">
      <c r="A7" s="43"/>
      <c r="B7" s="5" t="s">
        <v>11</v>
      </c>
      <c r="C7" s="5">
        <v>0</v>
      </c>
      <c r="D7" s="5">
        <v>0</v>
      </c>
      <c r="E7" s="5">
        <v>0</v>
      </c>
      <c r="F7" s="5">
        <v>0</v>
      </c>
      <c r="G7" s="5">
        <v>2</v>
      </c>
      <c r="H7" s="5">
        <v>17</v>
      </c>
      <c r="I7" s="63">
        <v>22</v>
      </c>
      <c r="J7" s="64">
        <v>27</v>
      </c>
      <c r="N7" s="12" t="s">
        <v>40</v>
      </c>
      <c r="O7" s="13">
        <f>O3</f>
        <v>71</v>
      </c>
      <c r="P7" s="12" t="s">
        <v>40</v>
      </c>
      <c r="Q7" s="12">
        <f>L12</f>
        <v>5</v>
      </c>
    </row>
    <row r="8" spans="1:17" ht="13.2" x14ac:dyDescent="0.25">
      <c r="A8" s="43"/>
      <c r="B8" s="5" t="s">
        <v>12</v>
      </c>
      <c r="C8" s="5">
        <v>3</v>
      </c>
      <c r="D8" s="5">
        <v>5</v>
      </c>
      <c r="E8" s="5">
        <v>5</v>
      </c>
      <c r="F8" s="5">
        <v>7</v>
      </c>
      <c r="G8" s="5">
        <v>10</v>
      </c>
      <c r="H8" s="5">
        <v>14</v>
      </c>
      <c r="I8" s="63">
        <v>16</v>
      </c>
      <c r="J8" s="64">
        <v>25</v>
      </c>
      <c r="N8" s="12" t="s">
        <v>41</v>
      </c>
      <c r="O8" s="13">
        <f>P3</f>
        <v>62.5</v>
      </c>
      <c r="P8" s="12" t="s">
        <v>41</v>
      </c>
      <c r="Q8" s="12">
        <f>L24</f>
        <v>5.25</v>
      </c>
    </row>
    <row r="9" spans="1:17" ht="13.2" x14ac:dyDescent="0.25">
      <c r="A9" s="43"/>
      <c r="B9" s="5" t="s">
        <v>13</v>
      </c>
      <c r="C9" s="5">
        <v>0</v>
      </c>
      <c r="D9" s="5">
        <v>1</v>
      </c>
      <c r="E9" s="5">
        <v>2.5</v>
      </c>
      <c r="F9" s="5">
        <v>4</v>
      </c>
      <c r="G9" s="5">
        <v>5</v>
      </c>
      <c r="H9" s="5">
        <v>8</v>
      </c>
      <c r="I9" s="63">
        <v>10</v>
      </c>
      <c r="J9" s="64">
        <v>16</v>
      </c>
      <c r="N9" s="12" t="s">
        <v>42</v>
      </c>
      <c r="O9" s="13">
        <f>O4</f>
        <v>69.5</v>
      </c>
      <c r="P9" s="12" t="s">
        <v>42</v>
      </c>
      <c r="Q9" s="12">
        <f>L36</f>
        <v>9.75</v>
      </c>
    </row>
    <row r="10" spans="1:17" ht="13.2" x14ac:dyDescent="0.25">
      <c r="A10" s="43"/>
      <c r="B10" s="5" t="s">
        <v>14</v>
      </c>
      <c r="C10" s="5">
        <v>0</v>
      </c>
      <c r="D10" s="5">
        <v>0</v>
      </c>
      <c r="E10" s="5">
        <v>0</v>
      </c>
      <c r="F10" s="5">
        <v>2</v>
      </c>
      <c r="G10" s="5">
        <v>5</v>
      </c>
      <c r="H10" s="5">
        <v>6</v>
      </c>
      <c r="I10" s="63">
        <v>8</v>
      </c>
      <c r="J10" s="64">
        <v>11</v>
      </c>
      <c r="N10" s="12" t="s">
        <v>43</v>
      </c>
      <c r="O10" s="13">
        <f>P4</f>
        <v>40</v>
      </c>
      <c r="P10" s="12" t="s">
        <v>43</v>
      </c>
      <c r="Q10" s="12">
        <f>L47</f>
        <v>33</v>
      </c>
    </row>
    <row r="11" spans="1:17" ht="13.2" x14ac:dyDescent="0.25">
      <c r="B11" s="8" t="s">
        <v>15</v>
      </c>
      <c r="C11" s="9">
        <f t="shared" ref="C11:I11" si="0">MEDIAN(C3:C10)</f>
        <v>0</v>
      </c>
      <c r="D11" s="9">
        <f t="shared" si="0"/>
        <v>0.5</v>
      </c>
      <c r="E11" s="9">
        <f t="shared" si="0"/>
        <v>1.25</v>
      </c>
      <c r="F11" s="9">
        <f t="shared" si="0"/>
        <v>4</v>
      </c>
      <c r="G11" s="9">
        <f t="shared" si="0"/>
        <v>6</v>
      </c>
      <c r="H11" s="9">
        <f t="shared" si="0"/>
        <v>23.5</v>
      </c>
      <c r="I11" s="9">
        <f t="shared" si="0"/>
        <v>37.5</v>
      </c>
      <c r="J11" s="8">
        <f>MEDIAN(J3:J10)</f>
        <v>40</v>
      </c>
    </row>
    <row r="12" spans="1:17" ht="13.2" x14ac:dyDescent="0.25">
      <c r="K12" s="17" t="s">
        <v>124</v>
      </c>
      <c r="L12" s="14">
        <f>MEDIAN(C11:J11)</f>
        <v>5</v>
      </c>
    </row>
    <row r="14" spans="1:17" ht="13.2" x14ac:dyDescent="0.25">
      <c r="B14" s="10"/>
      <c r="C14" s="2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42" t="s">
        <v>6</v>
      </c>
      <c r="J14" s="64" t="s">
        <v>119</v>
      </c>
    </row>
    <row r="15" spans="1:17" ht="13.2" x14ac:dyDescent="0.25">
      <c r="A15" s="43" t="s">
        <v>121</v>
      </c>
      <c r="B15" s="5" t="s">
        <v>21</v>
      </c>
      <c r="C15" s="11">
        <v>0</v>
      </c>
      <c r="D15" s="11">
        <v>0</v>
      </c>
      <c r="E15" s="11">
        <v>0</v>
      </c>
      <c r="F15" s="11">
        <v>5</v>
      </c>
      <c r="G15" s="11">
        <v>6</v>
      </c>
      <c r="H15" s="11">
        <v>7</v>
      </c>
      <c r="I15" s="63">
        <v>14</v>
      </c>
      <c r="J15" s="65">
        <v>120</v>
      </c>
    </row>
    <row r="16" spans="1:17" ht="13.2" x14ac:dyDescent="0.25">
      <c r="A16" s="43"/>
      <c r="B16" s="5" t="s">
        <v>17</v>
      </c>
      <c r="C16" s="11">
        <v>0</v>
      </c>
      <c r="D16" s="11">
        <v>1</v>
      </c>
      <c r="E16" s="11">
        <v>13</v>
      </c>
      <c r="F16" s="11">
        <v>56</v>
      </c>
      <c r="G16" s="11">
        <v>57</v>
      </c>
      <c r="H16" s="11">
        <v>63</v>
      </c>
      <c r="I16" s="63">
        <v>68</v>
      </c>
      <c r="J16" s="65">
        <v>95</v>
      </c>
    </row>
    <row r="17" spans="1:12" ht="13.2" x14ac:dyDescent="0.25">
      <c r="A17" s="43"/>
      <c r="B17" s="5" t="s">
        <v>16</v>
      </c>
      <c r="C17" s="11">
        <v>0</v>
      </c>
      <c r="D17" s="11">
        <v>0</v>
      </c>
      <c r="E17" s="11">
        <v>9.5</v>
      </c>
      <c r="F17" s="11">
        <v>39</v>
      </c>
      <c r="G17" s="11">
        <v>62</v>
      </c>
      <c r="H17" s="11">
        <v>64</v>
      </c>
      <c r="I17" s="63">
        <v>72</v>
      </c>
      <c r="J17" s="65">
        <v>84</v>
      </c>
    </row>
    <row r="18" spans="1:12" ht="13.2" x14ac:dyDescent="0.25">
      <c r="A18" s="43"/>
      <c r="B18" s="5" t="s">
        <v>20</v>
      </c>
      <c r="C18" s="11">
        <v>0</v>
      </c>
      <c r="D18" s="11">
        <v>0</v>
      </c>
      <c r="E18" s="11">
        <v>0</v>
      </c>
      <c r="F18" s="11">
        <v>0</v>
      </c>
      <c r="G18" s="11">
        <v>2</v>
      </c>
      <c r="H18" s="11">
        <v>18</v>
      </c>
      <c r="I18" s="63">
        <v>54</v>
      </c>
      <c r="J18" s="65">
        <v>70</v>
      </c>
    </row>
    <row r="19" spans="1:12" ht="13.2" x14ac:dyDescent="0.25">
      <c r="A19" s="43"/>
      <c r="B19" s="5" t="s">
        <v>18</v>
      </c>
      <c r="C19" s="11">
        <v>0</v>
      </c>
      <c r="D19" s="11">
        <v>0</v>
      </c>
      <c r="E19" s="11">
        <v>6</v>
      </c>
      <c r="F19" s="11">
        <v>42</v>
      </c>
      <c r="G19" s="11">
        <v>52</v>
      </c>
      <c r="H19" s="11">
        <v>54</v>
      </c>
      <c r="I19" s="63">
        <v>65</v>
      </c>
      <c r="J19" s="65">
        <v>69</v>
      </c>
    </row>
    <row r="20" spans="1:12" ht="13.2" x14ac:dyDescent="0.25">
      <c r="A20" s="43"/>
      <c r="B20" s="5" t="s">
        <v>19</v>
      </c>
      <c r="C20" s="11">
        <v>0</v>
      </c>
      <c r="D20" s="11">
        <v>0</v>
      </c>
      <c r="E20" s="11">
        <v>0</v>
      </c>
      <c r="F20" s="11">
        <v>2</v>
      </c>
      <c r="G20" s="11">
        <v>5</v>
      </c>
      <c r="H20" s="11">
        <v>30</v>
      </c>
      <c r="I20" s="63">
        <v>54</v>
      </c>
      <c r="J20" s="65">
        <v>65</v>
      </c>
    </row>
    <row r="21" spans="1:12" ht="13.2" x14ac:dyDescent="0.25">
      <c r="A21" s="43"/>
      <c r="B21" s="5" t="s">
        <v>22</v>
      </c>
      <c r="C21" s="11">
        <v>0</v>
      </c>
      <c r="D21" s="11">
        <v>0</v>
      </c>
      <c r="E21" s="11">
        <v>0</v>
      </c>
      <c r="F21" s="11">
        <v>4</v>
      </c>
      <c r="G21" s="11">
        <v>6</v>
      </c>
      <c r="H21" s="11">
        <v>7</v>
      </c>
      <c r="I21" s="63">
        <v>9</v>
      </c>
      <c r="J21" s="65">
        <v>24</v>
      </c>
    </row>
    <row r="22" spans="1:12" ht="13.2" x14ac:dyDescent="0.25">
      <c r="A22" s="43"/>
      <c r="B22" s="5" t="s">
        <v>23</v>
      </c>
      <c r="C22" s="11">
        <v>0</v>
      </c>
      <c r="D22" s="11">
        <v>0</v>
      </c>
      <c r="E22" s="11">
        <v>0</v>
      </c>
      <c r="F22" s="11">
        <v>0</v>
      </c>
      <c r="G22" s="11">
        <v>2</v>
      </c>
      <c r="H22" s="11">
        <v>4</v>
      </c>
      <c r="I22" s="63">
        <v>6</v>
      </c>
      <c r="J22" s="65">
        <v>9</v>
      </c>
    </row>
    <row r="23" spans="1:12" ht="13.2" x14ac:dyDescent="0.25">
      <c r="B23" s="8" t="s">
        <v>15</v>
      </c>
      <c r="C23" s="9">
        <f t="shared" ref="C23:I23" si="1">MEDIAN(C15:C22)</f>
        <v>0</v>
      </c>
      <c r="D23" s="9">
        <f t="shared" si="1"/>
        <v>0</v>
      </c>
      <c r="E23" s="9">
        <f t="shared" si="1"/>
        <v>0</v>
      </c>
      <c r="F23" s="9">
        <f t="shared" si="1"/>
        <v>4.5</v>
      </c>
      <c r="G23" s="9">
        <f t="shared" si="1"/>
        <v>6</v>
      </c>
      <c r="H23" s="9">
        <f t="shared" si="1"/>
        <v>24</v>
      </c>
      <c r="I23" s="9">
        <f t="shared" si="1"/>
        <v>54</v>
      </c>
      <c r="J23" s="8">
        <f>MEDIAN(J15:J22)</f>
        <v>69.5</v>
      </c>
    </row>
    <row r="24" spans="1:12" ht="13.2" x14ac:dyDescent="0.25">
      <c r="K24" s="17" t="s">
        <v>124</v>
      </c>
      <c r="L24" s="14">
        <f>MEDIAN(C23:J23)</f>
        <v>5.25</v>
      </c>
    </row>
    <row r="26" spans="1:12" ht="13.2" x14ac:dyDescent="0.25">
      <c r="B26" s="10"/>
      <c r="C26" s="2" t="s">
        <v>0</v>
      </c>
      <c r="D26" s="2" t="s">
        <v>1</v>
      </c>
      <c r="E26" s="2" t="s">
        <v>2</v>
      </c>
      <c r="F26" s="2" t="s">
        <v>3</v>
      </c>
      <c r="G26" s="2" t="s">
        <v>4</v>
      </c>
      <c r="H26" s="2" t="s">
        <v>5</v>
      </c>
      <c r="I26" s="42" t="s">
        <v>6</v>
      </c>
      <c r="J26" s="64" t="s">
        <v>119</v>
      </c>
    </row>
    <row r="27" spans="1:12" ht="13.2" x14ac:dyDescent="0.25">
      <c r="A27" s="43" t="s">
        <v>122</v>
      </c>
      <c r="B27" s="5" t="s">
        <v>25</v>
      </c>
      <c r="C27" s="11">
        <v>3</v>
      </c>
      <c r="D27" s="11">
        <v>6</v>
      </c>
      <c r="E27" s="11">
        <v>20</v>
      </c>
      <c r="F27" s="11">
        <v>72</v>
      </c>
      <c r="G27" s="11">
        <v>74</v>
      </c>
      <c r="H27" s="11">
        <v>78</v>
      </c>
      <c r="I27" s="63">
        <v>83</v>
      </c>
      <c r="J27" s="65">
        <v>100</v>
      </c>
    </row>
    <row r="28" spans="1:12" ht="13.2" x14ac:dyDescent="0.25">
      <c r="A28" s="43"/>
      <c r="B28" s="5" t="s">
        <v>24</v>
      </c>
      <c r="C28" s="11">
        <v>0</v>
      </c>
      <c r="D28" s="11">
        <v>0</v>
      </c>
      <c r="E28" s="11">
        <v>2</v>
      </c>
      <c r="F28" s="11">
        <v>11</v>
      </c>
      <c r="G28" s="11">
        <v>17</v>
      </c>
      <c r="H28" s="11">
        <v>52</v>
      </c>
      <c r="I28" s="63">
        <v>88</v>
      </c>
      <c r="J28" s="65">
        <v>94</v>
      </c>
    </row>
    <row r="29" spans="1:12" ht="13.2" x14ac:dyDescent="0.25">
      <c r="A29" s="43"/>
      <c r="B29" s="5" t="s">
        <v>26</v>
      </c>
      <c r="C29" s="11">
        <v>0</v>
      </c>
      <c r="D29" s="11">
        <v>0</v>
      </c>
      <c r="E29" s="11">
        <v>0</v>
      </c>
      <c r="F29" s="11">
        <v>0</v>
      </c>
      <c r="G29" s="11">
        <v>3</v>
      </c>
      <c r="H29" s="11">
        <v>9</v>
      </c>
      <c r="I29" s="63">
        <v>61</v>
      </c>
      <c r="J29" s="65">
        <v>88</v>
      </c>
    </row>
    <row r="30" spans="1:12" ht="13.2" x14ac:dyDescent="0.25">
      <c r="A30" s="43"/>
      <c r="B30" s="5" t="s">
        <v>27</v>
      </c>
      <c r="C30" s="11">
        <v>0</v>
      </c>
      <c r="D30" s="11">
        <v>1</v>
      </c>
      <c r="E30" s="11">
        <v>5</v>
      </c>
      <c r="F30" s="11">
        <v>32</v>
      </c>
      <c r="G30" s="11">
        <v>54</v>
      </c>
      <c r="H30" s="11">
        <v>55</v>
      </c>
      <c r="I30" s="63">
        <v>60</v>
      </c>
      <c r="J30" s="65">
        <v>72</v>
      </c>
    </row>
    <row r="31" spans="1:12" ht="13.2" x14ac:dyDescent="0.25">
      <c r="A31" s="43"/>
      <c r="B31" s="5" t="s">
        <v>28</v>
      </c>
      <c r="C31" s="11">
        <v>0</v>
      </c>
      <c r="D31" s="11">
        <v>0</v>
      </c>
      <c r="E31" s="11">
        <v>0</v>
      </c>
      <c r="F31" s="11">
        <v>0</v>
      </c>
      <c r="G31" s="11">
        <v>3</v>
      </c>
      <c r="H31" s="11">
        <v>32</v>
      </c>
      <c r="I31" s="63">
        <v>45</v>
      </c>
      <c r="J31" s="65">
        <v>53</v>
      </c>
    </row>
    <row r="32" spans="1:12" ht="13.2" x14ac:dyDescent="0.25">
      <c r="A32" s="43"/>
      <c r="B32" s="5" t="s">
        <v>31</v>
      </c>
      <c r="C32" s="11">
        <v>0</v>
      </c>
      <c r="D32" s="11">
        <v>0</v>
      </c>
      <c r="E32" s="11">
        <v>3.5</v>
      </c>
      <c r="F32" s="11">
        <v>11</v>
      </c>
      <c r="G32" s="11">
        <v>19</v>
      </c>
      <c r="H32" s="11">
        <v>23</v>
      </c>
      <c r="I32" s="63">
        <v>28</v>
      </c>
      <c r="J32" s="65">
        <v>34</v>
      </c>
    </row>
    <row r="33" spans="1:12" ht="13.2" x14ac:dyDescent="0.25">
      <c r="A33" s="43"/>
      <c r="B33" s="5" t="s">
        <v>30</v>
      </c>
      <c r="C33" s="11">
        <v>0</v>
      </c>
      <c r="D33" s="11">
        <v>2</v>
      </c>
      <c r="E33" s="11">
        <v>3</v>
      </c>
      <c r="F33" s="11">
        <v>4</v>
      </c>
      <c r="G33" s="11">
        <v>7</v>
      </c>
      <c r="H33" s="11">
        <v>10</v>
      </c>
      <c r="I33" s="63">
        <v>15</v>
      </c>
      <c r="J33" s="65">
        <v>23</v>
      </c>
    </row>
    <row r="34" spans="1:12" ht="13.2" x14ac:dyDescent="0.25">
      <c r="A34" s="43"/>
      <c r="B34" s="5" t="s">
        <v>29</v>
      </c>
      <c r="C34" s="11">
        <v>0</v>
      </c>
      <c r="D34" s="11">
        <v>0</v>
      </c>
      <c r="E34" s="11">
        <v>0</v>
      </c>
      <c r="F34" s="11">
        <v>4</v>
      </c>
      <c r="G34" s="11">
        <v>6</v>
      </c>
      <c r="H34" s="11">
        <v>8</v>
      </c>
      <c r="I34" s="63">
        <v>15</v>
      </c>
      <c r="J34" s="65">
        <v>16</v>
      </c>
    </row>
    <row r="35" spans="1:12" ht="13.2" x14ac:dyDescent="0.25">
      <c r="B35" s="8" t="s">
        <v>15</v>
      </c>
      <c r="C35" s="1">
        <f t="shared" ref="C35:I35" si="2">MEDIAN(C27:C34)</f>
        <v>0</v>
      </c>
      <c r="D35" s="1">
        <f t="shared" si="2"/>
        <v>0</v>
      </c>
      <c r="E35" s="1">
        <f t="shared" si="2"/>
        <v>2.5</v>
      </c>
      <c r="F35" s="1">
        <f t="shared" si="2"/>
        <v>7.5</v>
      </c>
      <c r="G35" s="1">
        <f t="shared" si="2"/>
        <v>12</v>
      </c>
      <c r="H35" s="1">
        <f t="shared" si="2"/>
        <v>27.5</v>
      </c>
      <c r="I35" s="1">
        <f t="shared" si="2"/>
        <v>52.5</v>
      </c>
      <c r="J35" s="8">
        <f>MEDIAN(J27:J34)</f>
        <v>62.5</v>
      </c>
    </row>
    <row r="36" spans="1:12" ht="13.2" x14ac:dyDescent="0.25">
      <c r="K36" s="17" t="s">
        <v>124</v>
      </c>
      <c r="L36" s="14">
        <f>MEDIAN(C35:J35)</f>
        <v>9.75</v>
      </c>
    </row>
    <row r="38" spans="1:12" ht="13.2" x14ac:dyDescent="0.25">
      <c r="B38" s="10"/>
      <c r="C38" s="2" t="s">
        <v>0</v>
      </c>
      <c r="D38" s="3" t="s">
        <v>1</v>
      </c>
      <c r="E38" s="3" t="s">
        <v>2</v>
      </c>
      <c r="F38" s="3" t="s">
        <v>3</v>
      </c>
      <c r="G38" s="3" t="s">
        <v>4</v>
      </c>
      <c r="H38" s="3" t="s">
        <v>5</v>
      </c>
      <c r="I38" s="42" t="s">
        <v>6</v>
      </c>
      <c r="J38" s="64" t="s">
        <v>119</v>
      </c>
    </row>
    <row r="39" spans="1:12" ht="13.2" x14ac:dyDescent="0.25">
      <c r="A39" s="45" t="s">
        <v>123</v>
      </c>
      <c r="B39" s="5" t="s">
        <v>32</v>
      </c>
      <c r="C39" s="11">
        <v>0</v>
      </c>
      <c r="D39" s="11">
        <v>0</v>
      </c>
      <c r="E39" s="11">
        <v>5</v>
      </c>
      <c r="F39" s="11">
        <v>30</v>
      </c>
      <c r="G39" s="11">
        <v>63</v>
      </c>
      <c r="H39" s="11">
        <v>64</v>
      </c>
      <c r="I39" s="63">
        <v>75</v>
      </c>
      <c r="J39" s="65">
        <v>90</v>
      </c>
    </row>
    <row r="40" spans="1:12" ht="13.2" x14ac:dyDescent="0.25">
      <c r="A40" s="46"/>
      <c r="B40" s="5" t="s">
        <v>33</v>
      </c>
      <c r="C40" s="11">
        <v>0</v>
      </c>
      <c r="D40" s="11">
        <v>0</v>
      </c>
      <c r="E40" s="11">
        <v>6</v>
      </c>
      <c r="F40" s="11">
        <v>43</v>
      </c>
      <c r="G40" s="11">
        <v>62</v>
      </c>
      <c r="H40" s="11">
        <v>64</v>
      </c>
      <c r="I40" s="63">
        <v>74</v>
      </c>
      <c r="J40" s="65">
        <v>89</v>
      </c>
    </row>
    <row r="41" spans="1:12" ht="13.2" x14ac:dyDescent="0.25">
      <c r="A41" s="46"/>
      <c r="B41" s="5" t="s">
        <v>35</v>
      </c>
      <c r="C41" s="11">
        <v>0</v>
      </c>
      <c r="D41" s="11">
        <v>0</v>
      </c>
      <c r="E41" s="11">
        <v>7</v>
      </c>
      <c r="F41" s="11">
        <v>42</v>
      </c>
      <c r="G41" s="11">
        <v>47</v>
      </c>
      <c r="H41" s="11">
        <v>48</v>
      </c>
      <c r="I41" s="63">
        <v>59</v>
      </c>
      <c r="J41" s="65">
        <v>79</v>
      </c>
    </row>
    <row r="42" spans="1:12" ht="13.2" x14ac:dyDescent="0.25">
      <c r="A42" s="46"/>
      <c r="B42" s="5" t="s">
        <v>34</v>
      </c>
      <c r="C42" s="11">
        <v>0</v>
      </c>
      <c r="D42" s="11">
        <v>0</v>
      </c>
      <c r="E42" s="11">
        <v>2</v>
      </c>
      <c r="F42" s="11">
        <v>23</v>
      </c>
      <c r="G42" s="11">
        <v>43</v>
      </c>
      <c r="H42" s="11">
        <v>49</v>
      </c>
      <c r="I42" s="63">
        <v>60</v>
      </c>
      <c r="J42" s="65">
        <v>71</v>
      </c>
    </row>
    <row r="43" spans="1:12" ht="13.2" x14ac:dyDescent="0.25">
      <c r="A43" s="46"/>
      <c r="B43" s="5" t="s">
        <v>36</v>
      </c>
      <c r="C43" s="11">
        <v>0</v>
      </c>
      <c r="D43" s="11">
        <v>0</v>
      </c>
      <c r="E43" s="11">
        <v>0</v>
      </c>
      <c r="F43" s="11">
        <v>2</v>
      </c>
      <c r="G43" s="11">
        <v>5</v>
      </c>
      <c r="H43" s="11">
        <v>24</v>
      </c>
      <c r="I43" s="63">
        <v>48</v>
      </c>
      <c r="J43" s="65">
        <v>57</v>
      </c>
    </row>
    <row r="44" spans="1:12" ht="13.2" x14ac:dyDescent="0.25">
      <c r="A44" s="46"/>
      <c r="B44" s="5" t="s">
        <v>37</v>
      </c>
      <c r="C44" s="11">
        <v>0</v>
      </c>
      <c r="D44" s="11">
        <v>0</v>
      </c>
      <c r="E44" s="11">
        <v>0</v>
      </c>
      <c r="F44" s="11">
        <v>0</v>
      </c>
      <c r="G44" s="11">
        <v>2</v>
      </c>
      <c r="H44" s="11">
        <v>11</v>
      </c>
      <c r="I44" s="63">
        <v>28</v>
      </c>
      <c r="J44" s="65">
        <v>36</v>
      </c>
    </row>
    <row r="45" spans="1:12" ht="13.2" x14ac:dyDescent="0.25">
      <c r="A45" s="47"/>
      <c r="B45" s="5" t="s">
        <v>38</v>
      </c>
      <c r="C45" s="11">
        <v>0</v>
      </c>
      <c r="D45" s="11">
        <v>0</v>
      </c>
      <c r="E45" s="11">
        <v>0</v>
      </c>
      <c r="F45" s="11">
        <v>4</v>
      </c>
      <c r="G45" s="11">
        <v>5</v>
      </c>
      <c r="H45" s="11">
        <v>15</v>
      </c>
      <c r="I45" s="63">
        <v>26</v>
      </c>
      <c r="J45" s="65">
        <v>27</v>
      </c>
    </row>
    <row r="46" spans="1:12" ht="13.2" x14ac:dyDescent="0.25">
      <c r="B46" s="8" t="s">
        <v>15</v>
      </c>
      <c r="C46" s="9">
        <f t="shared" ref="C46:I46" si="3">MEDIAN(C39:C45)</f>
        <v>0</v>
      </c>
      <c r="D46" s="9">
        <f t="shared" si="3"/>
        <v>0</v>
      </c>
      <c r="E46" s="9">
        <f t="shared" si="3"/>
        <v>2</v>
      </c>
      <c r="F46" s="9">
        <f t="shared" si="3"/>
        <v>23</v>
      </c>
      <c r="G46" s="9">
        <f t="shared" si="3"/>
        <v>43</v>
      </c>
      <c r="H46" s="9">
        <f t="shared" si="3"/>
        <v>48</v>
      </c>
      <c r="I46" s="9">
        <f t="shared" si="3"/>
        <v>59</v>
      </c>
      <c r="J46" s="8">
        <f>MEDIAN(J39:J45)</f>
        <v>71</v>
      </c>
    </row>
    <row r="47" spans="1:12" ht="13.2" x14ac:dyDescent="0.25">
      <c r="K47" s="17" t="s">
        <v>124</v>
      </c>
      <c r="L47" s="14">
        <f>MEDIAN(C46:J46)</f>
        <v>33</v>
      </c>
    </row>
  </sheetData>
  <sortState xmlns:xlrd2="http://schemas.microsoft.com/office/spreadsheetml/2017/richdata2" ref="B39:J45">
    <sortCondition descending="1" ref="J39:J45"/>
  </sortState>
  <mergeCells count="5">
    <mergeCell ref="A3:A10"/>
    <mergeCell ref="A15:A22"/>
    <mergeCell ref="A27:A34"/>
    <mergeCell ref="A39:A45"/>
    <mergeCell ref="A1:K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90B2-E466-4BC6-AAB4-11B28DCBABD5}">
  <dimension ref="A1"/>
  <sheetViews>
    <sheetView topLeftCell="I1" zoomScale="90" zoomScaleNormal="90" workbookViewId="0">
      <selection activeCell="P36" sqref="P36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M33"/>
  <sheetViews>
    <sheetView workbookViewId="0">
      <selection activeCell="H26" sqref="H26"/>
    </sheetView>
  </sheetViews>
  <sheetFormatPr defaultColWidth="12.6640625" defaultRowHeight="15.75" customHeight="1" x14ac:dyDescent="0.25"/>
  <sheetData>
    <row r="1" spans="2:13" ht="15.75" customHeight="1" x14ac:dyDescent="0.25">
      <c r="B1" s="20"/>
      <c r="G1" s="62" t="s">
        <v>133</v>
      </c>
      <c r="H1" s="44"/>
      <c r="I1" s="44"/>
      <c r="J1" s="44"/>
      <c r="K1" s="16"/>
      <c r="L1" s="16"/>
      <c r="M1" s="16"/>
    </row>
    <row r="2" spans="2:13" ht="15.75" customHeight="1" x14ac:dyDescent="0.25">
      <c r="C2" s="19"/>
      <c r="D2" s="43" t="s">
        <v>64</v>
      </c>
      <c r="E2" s="43"/>
      <c r="H2" s="19"/>
      <c r="I2" s="47" t="s">
        <v>64</v>
      </c>
      <c r="J2" s="47"/>
      <c r="K2" s="16"/>
      <c r="L2" s="16"/>
      <c r="M2" s="16"/>
    </row>
    <row r="3" spans="2:13" ht="15.75" customHeight="1" x14ac:dyDescent="0.25">
      <c r="D3" s="12" t="s">
        <v>67</v>
      </c>
      <c r="E3" s="12" t="s">
        <v>65</v>
      </c>
      <c r="I3" s="12" t="s">
        <v>67</v>
      </c>
      <c r="J3" s="12" t="s">
        <v>65</v>
      </c>
      <c r="K3" s="16"/>
      <c r="L3" s="16"/>
      <c r="M3" s="16"/>
    </row>
    <row r="4" spans="2:13" ht="15.75" customHeight="1" x14ac:dyDescent="0.25">
      <c r="B4" s="45" t="s">
        <v>68</v>
      </c>
      <c r="C4" s="44" t="s">
        <v>67</v>
      </c>
      <c r="D4" s="77">
        <v>90</v>
      </c>
      <c r="E4" s="77">
        <v>100</v>
      </c>
      <c r="G4" s="45" t="s">
        <v>68</v>
      </c>
      <c r="H4" s="44" t="s">
        <v>67</v>
      </c>
      <c r="I4" s="74">
        <f>$D$21-D4</f>
        <v>-19</v>
      </c>
      <c r="J4" s="74">
        <f>$E$21-E4</f>
        <v>-37.5</v>
      </c>
      <c r="K4" s="16"/>
      <c r="L4" s="16"/>
      <c r="M4" s="16"/>
    </row>
    <row r="5" spans="2:13" ht="15.75" customHeight="1" x14ac:dyDescent="0.25">
      <c r="B5" s="46"/>
      <c r="C5" s="44"/>
      <c r="D5" s="65">
        <v>89</v>
      </c>
      <c r="E5" s="65">
        <v>94</v>
      </c>
      <c r="G5" s="46"/>
      <c r="H5" s="44"/>
      <c r="I5" s="73">
        <f t="shared" ref="I5:I10" si="0">$D$21-D5</f>
        <v>-18</v>
      </c>
      <c r="J5" s="73">
        <f t="shared" ref="J5:J11" si="1">$E$21-E5</f>
        <v>-31.5</v>
      </c>
      <c r="K5" s="16"/>
      <c r="L5" s="16"/>
      <c r="M5" s="16"/>
    </row>
    <row r="6" spans="2:13" ht="15.75" customHeight="1" x14ac:dyDescent="0.25">
      <c r="B6" s="46"/>
      <c r="C6" s="44"/>
      <c r="D6" s="65">
        <v>79</v>
      </c>
      <c r="E6" s="65">
        <v>88</v>
      </c>
      <c r="G6" s="46"/>
      <c r="H6" s="44"/>
      <c r="I6" s="73">
        <f t="shared" si="0"/>
        <v>-8</v>
      </c>
      <c r="J6" s="73">
        <f t="shared" si="1"/>
        <v>-25.5</v>
      </c>
      <c r="K6" s="16"/>
      <c r="L6" s="16"/>
      <c r="M6" s="16"/>
    </row>
    <row r="7" spans="2:13" ht="15.75" customHeight="1" x14ac:dyDescent="0.25">
      <c r="B7" s="46"/>
      <c r="C7" s="44"/>
      <c r="D7" s="65">
        <v>71</v>
      </c>
      <c r="E7" s="65">
        <v>72</v>
      </c>
      <c r="G7" s="46"/>
      <c r="H7" s="44"/>
      <c r="I7" s="73">
        <f t="shared" si="0"/>
        <v>0</v>
      </c>
      <c r="J7" s="73">
        <f t="shared" si="1"/>
        <v>-9.5</v>
      </c>
      <c r="K7" s="16"/>
      <c r="L7" s="16"/>
      <c r="M7" s="16"/>
    </row>
    <row r="8" spans="2:13" ht="15.75" customHeight="1" x14ac:dyDescent="0.25">
      <c r="B8" s="46"/>
      <c r="C8" s="44"/>
      <c r="D8" s="65">
        <v>57</v>
      </c>
      <c r="E8" s="65">
        <v>53</v>
      </c>
      <c r="G8" s="46"/>
      <c r="H8" s="44"/>
      <c r="I8" s="73">
        <f t="shared" si="0"/>
        <v>14</v>
      </c>
      <c r="J8" s="73">
        <f t="shared" si="1"/>
        <v>9.5</v>
      </c>
      <c r="K8" s="16"/>
      <c r="L8" s="16"/>
      <c r="M8" s="16"/>
    </row>
    <row r="9" spans="2:13" ht="15.75" customHeight="1" x14ac:dyDescent="0.25">
      <c r="B9" s="46"/>
      <c r="C9" s="44"/>
      <c r="D9" s="77">
        <v>36</v>
      </c>
      <c r="E9" s="77">
        <v>34</v>
      </c>
      <c r="G9" s="46"/>
      <c r="H9" s="44"/>
      <c r="I9" s="74">
        <f t="shared" si="0"/>
        <v>35</v>
      </c>
      <c r="J9" s="74">
        <f t="shared" si="1"/>
        <v>28.5</v>
      </c>
      <c r="K9" s="16"/>
      <c r="L9" s="16"/>
      <c r="M9" s="16"/>
    </row>
    <row r="10" spans="2:13" ht="15.75" customHeight="1" x14ac:dyDescent="0.25">
      <c r="B10" s="46"/>
      <c r="C10" s="44"/>
      <c r="D10" s="77">
        <v>27</v>
      </c>
      <c r="E10" s="77">
        <v>23</v>
      </c>
      <c r="G10" s="46"/>
      <c r="H10" s="44"/>
      <c r="I10" s="74">
        <f t="shared" si="0"/>
        <v>44</v>
      </c>
      <c r="J10" s="74">
        <f t="shared" si="1"/>
        <v>39.5</v>
      </c>
      <c r="K10" s="16"/>
      <c r="L10" s="16"/>
      <c r="M10" s="16"/>
    </row>
    <row r="11" spans="2:13" ht="15.75" customHeight="1" x14ac:dyDescent="0.25">
      <c r="B11" s="46"/>
      <c r="C11" s="44"/>
      <c r="D11" s="78"/>
      <c r="E11" s="77">
        <v>16</v>
      </c>
      <c r="G11" s="46"/>
      <c r="H11" s="44"/>
      <c r="I11" s="74">
        <f>$D$21-D11</f>
        <v>71</v>
      </c>
      <c r="J11" s="74">
        <f t="shared" si="1"/>
        <v>46.5</v>
      </c>
      <c r="K11" s="16"/>
      <c r="L11" s="16"/>
      <c r="M11" s="16"/>
    </row>
    <row r="12" spans="2:13" ht="15.75" customHeight="1" x14ac:dyDescent="0.25">
      <c r="B12" s="46"/>
      <c r="C12" s="44" t="s">
        <v>65</v>
      </c>
      <c r="D12" s="77">
        <v>120</v>
      </c>
      <c r="E12" s="79">
        <v>90</v>
      </c>
      <c r="G12" s="46"/>
      <c r="H12" s="44" t="s">
        <v>65</v>
      </c>
      <c r="I12" s="74">
        <f>$D$22-D12</f>
        <v>-50.5</v>
      </c>
      <c r="J12" s="76">
        <f>$E$22-E12</f>
        <v>-50</v>
      </c>
      <c r="K12" s="27"/>
      <c r="L12" s="27"/>
      <c r="M12" s="16"/>
    </row>
    <row r="13" spans="2:13" ht="15.75" customHeight="1" x14ac:dyDescent="0.25">
      <c r="B13" s="46"/>
      <c r="C13" s="44"/>
      <c r="D13" s="77">
        <v>95</v>
      </c>
      <c r="E13" s="79">
        <v>70</v>
      </c>
      <c r="G13" s="46"/>
      <c r="H13" s="44"/>
      <c r="I13" s="74">
        <f t="shared" ref="I13:I19" si="2">$D$22-D13</f>
        <v>-25.5</v>
      </c>
      <c r="J13" s="76">
        <f t="shared" ref="J13:J19" si="3">$E$22-E13</f>
        <v>-30</v>
      </c>
      <c r="K13" s="27"/>
      <c r="L13" s="27"/>
      <c r="M13" s="16"/>
    </row>
    <row r="14" spans="2:13" ht="15.75" customHeight="1" x14ac:dyDescent="0.25">
      <c r="B14" s="46"/>
      <c r="C14" s="44"/>
      <c r="D14" s="65">
        <v>84</v>
      </c>
      <c r="E14" s="64">
        <v>59</v>
      </c>
      <c r="G14" s="46"/>
      <c r="H14" s="44"/>
      <c r="I14" s="73">
        <f t="shared" si="2"/>
        <v>-14.5</v>
      </c>
      <c r="J14" s="75">
        <f t="shared" si="3"/>
        <v>-19</v>
      </c>
      <c r="K14" s="27"/>
      <c r="L14" s="27"/>
      <c r="M14" s="16"/>
    </row>
    <row r="15" spans="2:13" ht="15.75" customHeight="1" x14ac:dyDescent="0.25">
      <c r="B15" s="46"/>
      <c r="C15" s="44"/>
      <c r="D15" s="65">
        <v>70</v>
      </c>
      <c r="E15" s="64">
        <v>53</v>
      </c>
      <c r="G15" s="46"/>
      <c r="H15" s="44"/>
      <c r="I15" s="73">
        <f t="shared" si="2"/>
        <v>-0.5</v>
      </c>
      <c r="J15" s="75">
        <f t="shared" si="3"/>
        <v>-13</v>
      </c>
      <c r="K15" s="27"/>
      <c r="L15" s="27"/>
      <c r="M15" s="16"/>
    </row>
    <row r="16" spans="2:13" ht="15.75" customHeight="1" x14ac:dyDescent="0.25">
      <c r="B16" s="46"/>
      <c r="C16" s="44"/>
      <c r="D16" s="65">
        <v>69</v>
      </c>
      <c r="E16" s="64">
        <v>27</v>
      </c>
      <c r="G16" s="46"/>
      <c r="H16" s="44"/>
      <c r="I16" s="73">
        <f t="shared" si="2"/>
        <v>0.5</v>
      </c>
      <c r="J16" s="75">
        <f t="shared" si="3"/>
        <v>13</v>
      </c>
      <c r="K16" s="27"/>
      <c r="L16" s="27"/>
      <c r="M16" s="16"/>
    </row>
    <row r="17" spans="2:13" ht="15.75" customHeight="1" x14ac:dyDescent="0.25">
      <c r="B17" s="46"/>
      <c r="C17" s="44"/>
      <c r="D17" s="65">
        <v>65</v>
      </c>
      <c r="E17" s="64">
        <v>25</v>
      </c>
      <c r="G17" s="46"/>
      <c r="H17" s="44"/>
      <c r="I17" s="73">
        <f t="shared" si="2"/>
        <v>4.5</v>
      </c>
      <c r="J17" s="75">
        <f t="shared" si="3"/>
        <v>15</v>
      </c>
      <c r="K17" s="27"/>
      <c r="L17" s="27"/>
      <c r="M17" s="16"/>
    </row>
    <row r="18" spans="2:13" ht="15.75" customHeight="1" x14ac:dyDescent="0.25">
      <c r="B18" s="46"/>
      <c r="C18" s="44"/>
      <c r="D18" s="77">
        <v>24</v>
      </c>
      <c r="E18" s="79">
        <v>16</v>
      </c>
      <c r="G18" s="46"/>
      <c r="H18" s="44"/>
      <c r="I18" s="74">
        <f t="shared" si="2"/>
        <v>45.5</v>
      </c>
      <c r="J18" s="76">
        <f t="shared" si="3"/>
        <v>24</v>
      </c>
      <c r="K18" s="27"/>
      <c r="L18" s="27"/>
      <c r="M18" s="16"/>
    </row>
    <row r="19" spans="2:13" ht="15.75" customHeight="1" x14ac:dyDescent="0.25">
      <c r="B19" s="47"/>
      <c r="C19" s="44"/>
      <c r="D19" s="77">
        <v>9</v>
      </c>
      <c r="E19" s="79">
        <v>11</v>
      </c>
      <c r="G19" s="47"/>
      <c r="H19" s="44"/>
      <c r="I19" s="74">
        <f t="shared" si="2"/>
        <v>60.5</v>
      </c>
      <c r="J19" s="76">
        <f t="shared" si="3"/>
        <v>29</v>
      </c>
      <c r="K19" s="27"/>
      <c r="L19" s="27"/>
      <c r="M19" s="16"/>
    </row>
    <row r="20" spans="2:13" ht="15.75" customHeight="1" x14ac:dyDescent="0.25">
      <c r="C20" s="21"/>
      <c r="D20" s="18"/>
      <c r="G20" s="20"/>
      <c r="H20" s="16"/>
      <c r="I20" s="18"/>
      <c r="J20" s="18"/>
      <c r="K20" s="16"/>
      <c r="L20" s="16"/>
      <c r="M20" s="16"/>
    </row>
    <row r="21" spans="2:13" ht="15.75" customHeight="1" x14ac:dyDescent="0.25">
      <c r="C21" s="21"/>
      <c r="D21" s="18">
        <f>MEDIAN(D4:D11)</f>
        <v>71</v>
      </c>
      <c r="E21" s="18">
        <f>MEDIAN(E4:E11)</f>
        <v>62.5</v>
      </c>
      <c r="G21" s="20"/>
      <c r="H21" s="16"/>
      <c r="I21" s="18"/>
      <c r="J21" s="18"/>
      <c r="K21" s="16"/>
      <c r="L21" s="16"/>
      <c r="M21" s="16"/>
    </row>
    <row r="22" spans="2:13" ht="15.75" customHeight="1" x14ac:dyDescent="0.25">
      <c r="C22" s="15"/>
      <c r="D22" s="18">
        <f>MEDIAN(D12:D19)</f>
        <v>69.5</v>
      </c>
      <c r="E22" s="18">
        <f>MEDIAN(E12:E19)</f>
        <v>40</v>
      </c>
      <c r="G22" s="16"/>
      <c r="H22" s="16"/>
      <c r="I22" s="16"/>
      <c r="J22" s="28"/>
      <c r="K22" s="16"/>
      <c r="L22" s="16"/>
      <c r="M22" s="16"/>
    </row>
    <row r="23" spans="2:13" ht="15.75" customHeight="1" x14ac:dyDescent="0.25">
      <c r="G23" s="20"/>
      <c r="H23" s="16"/>
      <c r="I23" s="16"/>
      <c r="J23" s="18"/>
      <c r="K23" s="16"/>
    </row>
    <row r="24" spans="2:13" ht="15.75" customHeight="1" x14ac:dyDescent="0.25">
      <c r="C24" s="19"/>
      <c r="D24" s="43" t="s">
        <v>64</v>
      </c>
      <c r="E24" s="43"/>
      <c r="G24" s="20"/>
      <c r="H24" s="16"/>
      <c r="I24" s="18"/>
      <c r="J24" s="16"/>
      <c r="K24" s="16"/>
    </row>
    <row r="25" spans="2:13" ht="15.75" customHeight="1" x14ac:dyDescent="0.25">
      <c r="D25" s="12" t="s">
        <v>67</v>
      </c>
      <c r="E25" s="12" t="s">
        <v>65</v>
      </c>
      <c r="G25" s="20"/>
      <c r="H25" s="16"/>
      <c r="I25" s="18"/>
      <c r="J25" s="16"/>
      <c r="K25" s="16"/>
    </row>
    <row r="26" spans="2:13" ht="15.75" customHeight="1" x14ac:dyDescent="0.25">
      <c r="B26" s="43" t="s">
        <v>68</v>
      </c>
      <c r="C26" s="48" t="s">
        <v>67</v>
      </c>
      <c r="D26" s="65">
        <v>89</v>
      </c>
      <c r="E26" s="65">
        <v>94</v>
      </c>
      <c r="G26" s="30"/>
      <c r="H26" s="16"/>
      <c r="I26" s="16"/>
      <c r="J26" s="16"/>
      <c r="K26" s="16"/>
    </row>
    <row r="27" spans="2:13" ht="15.75" customHeight="1" x14ac:dyDescent="0.25">
      <c r="B27" s="43"/>
      <c r="C27" s="49"/>
      <c r="D27" s="65">
        <v>79</v>
      </c>
      <c r="E27" s="65">
        <v>88</v>
      </c>
      <c r="G27" s="30"/>
    </row>
    <row r="28" spans="2:13" ht="15.75" customHeight="1" x14ac:dyDescent="0.25">
      <c r="B28" s="43"/>
      <c r="C28" s="49"/>
      <c r="D28" s="65">
        <v>71</v>
      </c>
      <c r="E28" s="65">
        <v>72</v>
      </c>
    </row>
    <row r="29" spans="2:13" ht="15.75" customHeight="1" x14ac:dyDescent="0.25">
      <c r="B29" s="43"/>
      <c r="C29" s="50"/>
      <c r="D29" s="65">
        <v>57</v>
      </c>
      <c r="E29" s="65">
        <v>53</v>
      </c>
    </row>
    <row r="30" spans="2:13" ht="15.75" customHeight="1" x14ac:dyDescent="0.25">
      <c r="B30" s="43"/>
      <c r="C30" s="48" t="s">
        <v>65</v>
      </c>
      <c r="D30" s="65">
        <v>84</v>
      </c>
      <c r="E30" s="64">
        <v>59</v>
      </c>
    </row>
    <row r="31" spans="2:13" ht="15.75" customHeight="1" x14ac:dyDescent="0.25">
      <c r="B31" s="43"/>
      <c r="C31" s="49"/>
      <c r="D31" s="65">
        <v>70</v>
      </c>
      <c r="E31" s="64">
        <v>53</v>
      </c>
    </row>
    <row r="32" spans="2:13" ht="15.75" customHeight="1" x14ac:dyDescent="0.25">
      <c r="B32" s="43"/>
      <c r="C32" s="49"/>
      <c r="D32" s="65">
        <v>69</v>
      </c>
      <c r="E32" s="64">
        <v>27</v>
      </c>
    </row>
    <row r="33" spans="2:5" ht="15.75" customHeight="1" x14ac:dyDescent="0.25">
      <c r="B33" s="43"/>
      <c r="C33" s="50"/>
      <c r="D33" s="65">
        <v>65</v>
      </c>
      <c r="E33" s="64">
        <v>25</v>
      </c>
    </row>
  </sheetData>
  <mergeCells count="13">
    <mergeCell ref="B26:B33"/>
    <mergeCell ref="C26:C29"/>
    <mergeCell ref="C30:C33"/>
    <mergeCell ref="G1:J1"/>
    <mergeCell ref="D24:E24"/>
    <mergeCell ref="D2:E2"/>
    <mergeCell ref="C4:C11"/>
    <mergeCell ref="C12:C19"/>
    <mergeCell ref="B4:B19"/>
    <mergeCell ref="I2:J2"/>
    <mergeCell ref="G4:G19"/>
    <mergeCell ref="H4:H11"/>
    <mergeCell ref="H12:H1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86D8-E834-4C11-B18F-65F17791F5FE}">
  <dimension ref="A1:G30"/>
  <sheetViews>
    <sheetView workbookViewId="0">
      <selection activeCell="A4" sqref="A4"/>
    </sheetView>
  </sheetViews>
  <sheetFormatPr defaultRowHeight="13.2" x14ac:dyDescent="0.25"/>
  <cols>
    <col min="1" max="1" width="28.21875" bestFit="1" customWidth="1"/>
    <col min="2" max="7" width="12" bestFit="1" customWidth="1"/>
  </cols>
  <sheetData>
    <row r="1" spans="1:4" x14ac:dyDescent="0.25">
      <c r="A1" t="s">
        <v>70</v>
      </c>
    </row>
    <row r="3" spans="1:4" x14ac:dyDescent="0.25">
      <c r="A3" t="s">
        <v>71</v>
      </c>
      <c r="B3" t="s">
        <v>67</v>
      </c>
      <c r="C3" t="s">
        <v>65</v>
      </c>
      <c r="D3" t="s">
        <v>72</v>
      </c>
    </row>
    <row r="4" spans="1:4" ht="13.8" thickBot="1" x14ac:dyDescent="0.3">
      <c r="A4" s="23" t="s">
        <v>69</v>
      </c>
      <c r="B4" s="23"/>
      <c r="C4" s="23"/>
      <c r="D4" s="23"/>
    </row>
    <row r="5" spans="1:4" x14ac:dyDescent="0.25">
      <c r="A5" s="22" t="s">
        <v>73</v>
      </c>
      <c r="B5" s="22">
        <v>4</v>
      </c>
      <c r="C5" s="22">
        <v>4</v>
      </c>
      <c r="D5" s="22">
        <v>8</v>
      </c>
    </row>
    <row r="6" spans="1:4" x14ac:dyDescent="0.25">
      <c r="A6" s="22" t="s">
        <v>74</v>
      </c>
      <c r="B6" s="22">
        <v>296</v>
      </c>
      <c r="C6" s="22">
        <v>307</v>
      </c>
      <c r="D6" s="22">
        <v>603</v>
      </c>
    </row>
    <row r="7" spans="1:4" x14ac:dyDescent="0.25">
      <c r="A7" s="22" t="s">
        <v>75</v>
      </c>
      <c r="B7" s="22">
        <v>74</v>
      </c>
      <c r="C7" s="22">
        <v>76.75</v>
      </c>
      <c r="D7" s="22">
        <v>75.375</v>
      </c>
    </row>
    <row r="8" spans="1:4" x14ac:dyDescent="0.25">
      <c r="A8" s="22" t="s">
        <v>76</v>
      </c>
      <c r="B8" s="22">
        <v>182.66666666666666</v>
      </c>
      <c r="C8" s="22">
        <v>336.91666666666669</v>
      </c>
      <c r="D8" s="22">
        <v>224.83928571428572</v>
      </c>
    </row>
    <row r="9" spans="1:4" x14ac:dyDescent="0.25">
      <c r="A9" s="22"/>
      <c r="B9" s="22"/>
      <c r="C9" s="22"/>
      <c r="D9" s="22"/>
    </row>
    <row r="10" spans="1:4" ht="13.8" thickBot="1" x14ac:dyDescent="0.3">
      <c r="A10" s="23" t="s">
        <v>131</v>
      </c>
      <c r="B10" s="23"/>
      <c r="C10" s="23"/>
      <c r="D10" s="23"/>
    </row>
    <row r="11" spans="1:4" x14ac:dyDescent="0.25">
      <c r="A11" s="22" t="s">
        <v>73</v>
      </c>
      <c r="B11" s="22">
        <v>4</v>
      </c>
      <c r="C11" s="22">
        <v>4</v>
      </c>
      <c r="D11" s="22">
        <v>8</v>
      </c>
    </row>
    <row r="12" spans="1:4" x14ac:dyDescent="0.25">
      <c r="A12" s="22" t="s">
        <v>74</v>
      </c>
      <c r="B12" s="22">
        <v>288</v>
      </c>
      <c r="C12" s="22">
        <v>164</v>
      </c>
      <c r="D12" s="22">
        <v>452</v>
      </c>
    </row>
    <row r="13" spans="1:4" x14ac:dyDescent="0.25">
      <c r="A13" s="22" t="s">
        <v>75</v>
      </c>
      <c r="B13" s="22">
        <v>72</v>
      </c>
      <c r="C13" s="22">
        <v>41</v>
      </c>
      <c r="D13" s="22">
        <v>56.5</v>
      </c>
    </row>
    <row r="14" spans="1:4" x14ac:dyDescent="0.25">
      <c r="A14" s="22" t="s">
        <v>76</v>
      </c>
      <c r="B14" s="22">
        <v>68.666666666666671</v>
      </c>
      <c r="C14" s="22">
        <v>306.66666666666669</v>
      </c>
      <c r="D14" s="22">
        <v>435.42857142857144</v>
      </c>
    </row>
    <row r="15" spans="1:4" x14ac:dyDescent="0.25">
      <c r="A15" s="22"/>
      <c r="B15" s="22"/>
      <c r="C15" s="22"/>
      <c r="D15" s="22"/>
    </row>
    <row r="16" spans="1:4" ht="13.8" thickBot="1" x14ac:dyDescent="0.3">
      <c r="A16" s="23" t="s">
        <v>72</v>
      </c>
      <c r="B16" s="23"/>
      <c r="C16" s="23"/>
      <c r="D16" s="23"/>
    </row>
    <row r="17" spans="1:7" x14ac:dyDescent="0.25">
      <c r="A17" s="22" t="s">
        <v>73</v>
      </c>
      <c r="B17" s="22">
        <v>8</v>
      </c>
      <c r="C17" s="22">
        <v>8</v>
      </c>
      <c r="D17" s="22"/>
    </row>
    <row r="18" spans="1:7" x14ac:dyDescent="0.25">
      <c r="A18" s="22" t="s">
        <v>74</v>
      </c>
      <c r="B18" s="22">
        <v>584</v>
      </c>
      <c r="C18" s="22">
        <v>471</v>
      </c>
      <c r="D18" s="22"/>
    </row>
    <row r="19" spans="1:7" x14ac:dyDescent="0.25">
      <c r="A19" s="22" t="s">
        <v>75</v>
      </c>
      <c r="B19" s="22">
        <v>73</v>
      </c>
      <c r="C19" s="22">
        <v>58.875</v>
      </c>
      <c r="D19" s="22"/>
    </row>
    <row r="20" spans="1:7" x14ac:dyDescent="0.25">
      <c r="A20" s="22" t="s">
        <v>76</v>
      </c>
      <c r="B20" s="22">
        <v>108.85714285714286</v>
      </c>
      <c r="C20" s="22">
        <v>640.98214285714289</v>
      </c>
      <c r="D20" s="22"/>
    </row>
    <row r="21" spans="1:7" x14ac:dyDescent="0.25">
      <c r="A21" s="22"/>
      <c r="B21" s="22"/>
      <c r="C21" s="22"/>
      <c r="D21" s="22"/>
    </row>
    <row r="23" spans="1:7" ht="13.8" thickBot="1" x14ac:dyDescent="0.3">
      <c r="A23" t="s">
        <v>77</v>
      </c>
    </row>
    <row r="24" spans="1:7" x14ac:dyDescent="0.25">
      <c r="A24" s="25" t="s">
        <v>78</v>
      </c>
      <c r="B24" s="25" t="s">
        <v>79</v>
      </c>
      <c r="C24" s="25" t="s">
        <v>80</v>
      </c>
      <c r="D24" s="25" t="s">
        <v>81</v>
      </c>
      <c r="E24" s="25" t="s">
        <v>82</v>
      </c>
      <c r="F24" s="25" t="s">
        <v>83</v>
      </c>
      <c r="G24" s="25" t="s">
        <v>84</v>
      </c>
    </row>
    <row r="25" spans="1:7" x14ac:dyDescent="0.25">
      <c r="A25" s="29" t="s">
        <v>69</v>
      </c>
      <c r="B25" s="22">
        <v>1425.0625</v>
      </c>
      <c r="C25" s="22">
        <v>1</v>
      </c>
      <c r="D25" s="22">
        <v>1425.0625</v>
      </c>
      <c r="E25" s="22">
        <v>6.3695874848682372</v>
      </c>
      <c r="F25" s="22">
        <v>2.6721841569102341E-2</v>
      </c>
      <c r="G25" s="22">
        <v>4.7472253467225149</v>
      </c>
    </row>
    <row r="26" spans="1:7" x14ac:dyDescent="0.25">
      <c r="A26" s="29" t="s">
        <v>131</v>
      </c>
      <c r="B26" s="22">
        <v>798.0625</v>
      </c>
      <c r="C26" s="22">
        <v>1</v>
      </c>
      <c r="D26" s="22">
        <v>798.0625</v>
      </c>
      <c r="E26" s="22">
        <v>3.5670919079988828</v>
      </c>
      <c r="F26" s="22">
        <v>8.334015356894936E-2</v>
      </c>
      <c r="G26" s="22">
        <v>4.7472253467225149</v>
      </c>
    </row>
    <row r="27" spans="1:7" x14ac:dyDescent="0.25">
      <c r="A27" s="22" t="s">
        <v>85</v>
      </c>
      <c r="B27" s="22">
        <v>1139.0625</v>
      </c>
      <c r="C27" s="22">
        <v>1</v>
      </c>
      <c r="D27" s="22">
        <v>1139.0625</v>
      </c>
      <c r="E27" s="22">
        <v>5.0912561691032687</v>
      </c>
      <c r="F27" s="22">
        <v>4.3493883277292228E-2</v>
      </c>
      <c r="G27" s="22">
        <v>4.7472253467225149</v>
      </c>
    </row>
    <row r="28" spans="1:7" x14ac:dyDescent="0.25">
      <c r="A28" s="22" t="s">
        <v>86</v>
      </c>
      <c r="B28" s="22">
        <v>2684.75</v>
      </c>
      <c r="C28" s="22">
        <v>12</v>
      </c>
      <c r="D28" s="22">
        <v>223.72916666666666</v>
      </c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ht="13.8" thickBot="1" x14ac:dyDescent="0.3">
      <c r="A30" s="24" t="s">
        <v>72</v>
      </c>
      <c r="B30" s="24">
        <v>6046.9375</v>
      </c>
      <c r="C30" s="24">
        <v>15</v>
      </c>
      <c r="D30" s="24"/>
      <c r="E30" s="24"/>
      <c r="F30" s="24"/>
      <c r="G30" s="2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DF59-A87D-4D2D-8D91-646AC3AB3836}">
  <dimension ref="A1"/>
  <sheetViews>
    <sheetView topLeftCell="A16" workbookViewId="0">
      <selection activeCell="N11" sqref="N11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2DE0-97A3-4BDA-9FBB-AB67C8B9FE4D}">
  <dimension ref="B2:K44"/>
  <sheetViews>
    <sheetView topLeftCell="A15" workbookViewId="0">
      <selection activeCell="I40" sqref="I40"/>
    </sheetView>
  </sheetViews>
  <sheetFormatPr defaultRowHeight="13.2" x14ac:dyDescent="0.25"/>
  <cols>
    <col min="3" max="3" width="12" style="31" bestFit="1" customWidth="1"/>
    <col min="4" max="4" width="11.44140625" bestFit="1" customWidth="1"/>
    <col min="5" max="5" width="22.44140625" bestFit="1" customWidth="1"/>
    <col min="9" max="9" width="12" bestFit="1" customWidth="1"/>
    <col min="10" max="10" width="11.44140625" bestFit="1" customWidth="1"/>
    <col min="11" max="11" width="22.44140625" bestFit="1" customWidth="1"/>
  </cols>
  <sheetData>
    <row r="2" spans="2:11" x14ac:dyDescent="0.25">
      <c r="C2" s="32" t="s">
        <v>117</v>
      </c>
      <c r="D2" s="17" t="s">
        <v>118</v>
      </c>
      <c r="E2" s="32" t="s">
        <v>132</v>
      </c>
      <c r="I2" s="17" t="s">
        <v>117</v>
      </c>
      <c r="J2" s="17" t="s">
        <v>118</v>
      </c>
      <c r="K2" s="32" t="s">
        <v>132</v>
      </c>
    </row>
    <row r="3" spans="2:11" x14ac:dyDescent="0.25">
      <c r="B3" s="17" t="s">
        <v>96</v>
      </c>
      <c r="C3" s="26">
        <v>9.3800000000000008</v>
      </c>
      <c r="D3" s="35">
        <v>1.1299999999999999</v>
      </c>
      <c r="E3" s="26">
        <f>C3-D3</f>
        <v>8.25</v>
      </c>
      <c r="F3" s="36"/>
      <c r="H3" s="17" t="s">
        <v>40</v>
      </c>
      <c r="I3" s="34">
        <f>C11</f>
        <v>19.149999999999999</v>
      </c>
      <c r="J3" s="26">
        <f>D11</f>
        <v>1.9449999999999998</v>
      </c>
      <c r="K3" s="26">
        <f>E11</f>
        <v>17.205000000000002</v>
      </c>
    </row>
    <row r="4" spans="2:11" x14ac:dyDescent="0.25">
      <c r="B4" s="17" t="s">
        <v>115</v>
      </c>
      <c r="C4" s="26">
        <v>36.630000000000003</v>
      </c>
      <c r="D4" s="35">
        <v>4.43</v>
      </c>
      <c r="E4" s="33">
        <f>C4-D4</f>
        <v>32.200000000000003</v>
      </c>
      <c r="F4" s="36"/>
      <c r="H4" s="17" t="s">
        <v>41</v>
      </c>
      <c r="I4" s="34">
        <f>C22</f>
        <v>25.88</v>
      </c>
      <c r="J4" s="26">
        <f>D22</f>
        <v>2.6550000000000002</v>
      </c>
      <c r="K4" s="33">
        <f>E22</f>
        <v>23.224999999999998</v>
      </c>
    </row>
    <row r="5" spans="2:11" x14ac:dyDescent="0.25">
      <c r="B5" s="17" t="s">
        <v>97</v>
      </c>
      <c r="C5" s="26">
        <v>1.45</v>
      </c>
      <c r="D5" s="35">
        <v>0.26</v>
      </c>
      <c r="E5" s="26">
        <f>C5-D5</f>
        <v>1.19</v>
      </c>
      <c r="F5" s="36"/>
      <c r="H5" s="17" t="s">
        <v>42</v>
      </c>
      <c r="I5" s="34">
        <f>C33</f>
        <v>28.225000000000001</v>
      </c>
      <c r="J5" s="26">
        <f>D33</f>
        <v>2.6950000000000003</v>
      </c>
      <c r="K5" s="33">
        <f>E33</f>
        <v>25.53</v>
      </c>
    </row>
    <row r="6" spans="2:11" x14ac:dyDescent="0.25">
      <c r="B6" s="17" t="s">
        <v>92</v>
      </c>
      <c r="C6" s="26">
        <v>38.01</v>
      </c>
      <c r="D6" s="35">
        <v>4.04</v>
      </c>
      <c r="E6" s="33">
        <f>C6-D6</f>
        <v>33.97</v>
      </c>
      <c r="F6" s="36"/>
      <c r="G6" s="30"/>
      <c r="H6" s="17" t="s">
        <v>43</v>
      </c>
      <c r="I6" s="34">
        <f>C44</f>
        <v>32.664999999999999</v>
      </c>
      <c r="J6" s="26">
        <f>D44</f>
        <v>3.1349999999999998</v>
      </c>
      <c r="K6" s="33">
        <f>E44</f>
        <v>29.379999999999995</v>
      </c>
    </row>
    <row r="7" spans="2:11" x14ac:dyDescent="0.25">
      <c r="B7" s="17" t="s">
        <v>101</v>
      </c>
      <c r="C7" s="26">
        <v>1.27</v>
      </c>
      <c r="D7" s="35">
        <v>0.2</v>
      </c>
      <c r="E7" s="33">
        <f>C7-D7</f>
        <v>1.07</v>
      </c>
      <c r="F7" s="36"/>
      <c r="G7" s="37"/>
      <c r="I7" s="16"/>
      <c r="J7" s="16"/>
    </row>
    <row r="8" spans="2:11" x14ac:dyDescent="0.25">
      <c r="B8" s="17" t="s">
        <v>99</v>
      </c>
      <c r="C8" s="26">
        <v>34.08</v>
      </c>
      <c r="D8" s="35">
        <v>4.8899999999999997</v>
      </c>
      <c r="E8" s="33">
        <f>C8-D8</f>
        <v>29.189999999999998</v>
      </c>
      <c r="F8" s="36"/>
      <c r="I8" s="16"/>
      <c r="J8" s="41"/>
    </row>
    <row r="9" spans="2:11" x14ac:dyDescent="0.25">
      <c r="B9" s="17" t="s">
        <v>98</v>
      </c>
      <c r="C9" s="26">
        <v>28.92</v>
      </c>
      <c r="D9" s="35">
        <v>2.76</v>
      </c>
      <c r="E9" s="33">
        <f>C9-D9</f>
        <v>26.160000000000004</v>
      </c>
      <c r="F9" s="36"/>
      <c r="I9" s="41"/>
      <c r="J9" s="41"/>
    </row>
    <row r="10" spans="2:11" x14ac:dyDescent="0.25">
      <c r="B10" s="17" t="s">
        <v>102</v>
      </c>
      <c r="C10" s="26">
        <v>0.47</v>
      </c>
      <c r="D10" s="35">
        <v>0.22</v>
      </c>
      <c r="E10" s="33">
        <f>C10-D10</f>
        <v>0.24999999999999997</v>
      </c>
      <c r="F10" s="36"/>
      <c r="I10" s="29"/>
      <c r="J10" s="16"/>
    </row>
    <row r="11" spans="2:11" x14ac:dyDescent="0.25">
      <c r="B11" s="80" t="s">
        <v>63</v>
      </c>
      <c r="C11" s="39">
        <f>MEDIAN(C3:C10)</f>
        <v>19.149999999999999</v>
      </c>
      <c r="D11" s="39">
        <f>MEDIAN(D3:D10)</f>
        <v>1.9449999999999998</v>
      </c>
      <c r="E11" s="81">
        <f>MEDIAN(E3:E10)</f>
        <v>17.205000000000002</v>
      </c>
      <c r="I11" s="29"/>
      <c r="J11" s="16"/>
    </row>
    <row r="12" spans="2:11" x14ac:dyDescent="0.25">
      <c r="I12" s="29"/>
      <c r="J12" s="16"/>
    </row>
    <row r="13" spans="2:11" x14ac:dyDescent="0.25">
      <c r="C13" s="32" t="s">
        <v>117</v>
      </c>
      <c r="D13" s="17" t="s">
        <v>118</v>
      </c>
      <c r="E13" s="32" t="s">
        <v>132</v>
      </c>
      <c r="F13" s="36"/>
    </row>
    <row r="14" spans="2:11" x14ac:dyDescent="0.25">
      <c r="B14" s="17" t="s">
        <v>110</v>
      </c>
      <c r="C14" s="26">
        <v>8.24</v>
      </c>
      <c r="D14" s="35">
        <v>0.84</v>
      </c>
      <c r="E14" s="33">
        <f t="shared" ref="E14:E21" si="0">C14-D14</f>
        <v>7.4</v>
      </c>
      <c r="F14" s="36"/>
    </row>
    <row r="15" spans="2:11" x14ac:dyDescent="0.25">
      <c r="B15" s="17" t="s">
        <v>88</v>
      </c>
      <c r="C15" s="26">
        <v>23.74</v>
      </c>
      <c r="D15" s="35">
        <v>2.69</v>
      </c>
      <c r="E15" s="33">
        <f t="shared" si="0"/>
        <v>21.049999999999997</v>
      </c>
      <c r="F15" s="36"/>
    </row>
    <row r="16" spans="2:11" x14ac:dyDescent="0.25">
      <c r="B16" s="17" t="s">
        <v>104</v>
      </c>
      <c r="C16" s="34">
        <v>28.02</v>
      </c>
      <c r="D16" s="35">
        <v>2.62</v>
      </c>
      <c r="E16" s="33">
        <f t="shared" si="0"/>
        <v>25.4</v>
      </c>
      <c r="F16" s="36"/>
      <c r="G16" s="30"/>
    </row>
    <row r="17" spans="2:7" x14ac:dyDescent="0.25">
      <c r="B17" s="17" t="s">
        <v>107</v>
      </c>
      <c r="C17" s="26">
        <v>32.950000000000003</v>
      </c>
      <c r="D17" s="35">
        <v>3.04</v>
      </c>
      <c r="E17" s="33">
        <f t="shared" si="0"/>
        <v>29.910000000000004</v>
      </c>
      <c r="F17" s="36"/>
      <c r="G17" s="37"/>
    </row>
    <row r="18" spans="2:7" x14ac:dyDescent="0.25">
      <c r="B18" s="17" t="s">
        <v>108</v>
      </c>
      <c r="C18" s="26">
        <v>32.32</v>
      </c>
      <c r="D18" s="35">
        <v>3.49</v>
      </c>
      <c r="E18" s="33">
        <f t="shared" si="0"/>
        <v>28.83</v>
      </c>
      <c r="F18" s="36"/>
    </row>
    <row r="19" spans="2:7" x14ac:dyDescent="0.25">
      <c r="B19" s="17" t="s">
        <v>100</v>
      </c>
      <c r="C19" s="26">
        <v>0.33</v>
      </c>
      <c r="D19" s="35">
        <v>0.09</v>
      </c>
      <c r="E19" s="33">
        <f t="shared" si="0"/>
        <v>0.24000000000000002</v>
      </c>
      <c r="F19" s="36"/>
    </row>
    <row r="20" spans="2:7" x14ac:dyDescent="0.25">
      <c r="B20" s="17" t="s">
        <v>103</v>
      </c>
      <c r="C20" s="26">
        <v>5.68</v>
      </c>
      <c r="D20" s="35">
        <v>0.97</v>
      </c>
      <c r="E20" s="33">
        <f t="shared" si="0"/>
        <v>4.71</v>
      </c>
      <c r="F20" s="36"/>
    </row>
    <row r="21" spans="2:7" x14ac:dyDescent="0.25">
      <c r="B21" s="17" t="s">
        <v>109</v>
      </c>
      <c r="C21" s="26">
        <v>36.64</v>
      </c>
      <c r="D21" s="35">
        <v>3.67</v>
      </c>
      <c r="E21" s="33">
        <f t="shared" si="0"/>
        <v>32.97</v>
      </c>
    </row>
    <row r="22" spans="2:7" x14ac:dyDescent="0.25">
      <c r="B22" s="80" t="s">
        <v>63</v>
      </c>
      <c r="C22" s="39">
        <f>MEDIAN(C14:C21)</f>
        <v>25.88</v>
      </c>
      <c r="D22" s="39">
        <f>MEDIAN(D14:D21)</f>
        <v>2.6550000000000002</v>
      </c>
      <c r="E22" s="38">
        <f>MEDIAN(E14:E21)</f>
        <v>23.224999999999998</v>
      </c>
    </row>
    <row r="23" spans="2:7" x14ac:dyDescent="0.25">
      <c r="F23" s="36"/>
    </row>
    <row r="24" spans="2:7" x14ac:dyDescent="0.25">
      <c r="C24" s="32" t="s">
        <v>117</v>
      </c>
      <c r="D24" s="17" t="s">
        <v>118</v>
      </c>
      <c r="E24" s="32" t="s">
        <v>132</v>
      </c>
      <c r="F24" s="36"/>
    </row>
    <row r="25" spans="2:7" x14ac:dyDescent="0.25">
      <c r="B25" s="17" t="s">
        <v>113</v>
      </c>
      <c r="C25" s="26">
        <v>7.31</v>
      </c>
      <c r="D25" s="35">
        <v>1.1000000000000001</v>
      </c>
      <c r="E25" s="33">
        <f t="shared" ref="E25:E32" si="1">C25-D25</f>
        <v>6.2099999999999991</v>
      </c>
      <c r="F25" s="36"/>
    </row>
    <row r="26" spans="2:7" x14ac:dyDescent="0.25">
      <c r="B26" s="17" t="s">
        <v>112</v>
      </c>
      <c r="C26" s="26">
        <v>47.87</v>
      </c>
      <c r="D26" s="35">
        <v>5.39</v>
      </c>
      <c r="E26" s="33">
        <f t="shared" si="1"/>
        <v>42.48</v>
      </c>
      <c r="F26" s="36"/>
      <c r="G26" s="30"/>
    </row>
    <row r="27" spans="2:7" x14ac:dyDescent="0.25">
      <c r="B27" s="17" t="s">
        <v>111</v>
      </c>
      <c r="C27" s="26">
        <v>30.53</v>
      </c>
      <c r="D27" s="35">
        <v>3.17</v>
      </c>
      <c r="E27" s="33">
        <f t="shared" si="1"/>
        <v>27.36</v>
      </c>
      <c r="F27" s="36"/>
      <c r="G27" s="37"/>
    </row>
    <row r="28" spans="2:7" x14ac:dyDescent="0.25">
      <c r="B28" s="17" t="s">
        <v>90</v>
      </c>
      <c r="C28" s="26">
        <v>35</v>
      </c>
      <c r="D28" s="35">
        <v>3.65</v>
      </c>
      <c r="E28" s="33">
        <f t="shared" si="1"/>
        <v>31.35</v>
      </c>
      <c r="F28" s="36"/>
    </row>
    <row r="29" spans="2:7" x14ac:dyDescent="0.25">
      <c r="B29" s="17" t="s">
        <v>106</v>
      </c>
      <c r="C29" s="26">
        <v>76.69</v>
      </c>
      <c r="D29" s="35">
        <v>6.69</v>
      </c>
      <c r="E29" s="33">
        <f t="shared" si="1"/>
        <v>70</v>
      </c>
      <c r="F29" s="36"/>
    </row>
    <row r="30" spans="2:7" x14ac:dyDescent="0.25">
      <c r="B30" s="17" t="s">
        <v>116</v>
      </c>
      <c r="C30" s="26">
        <v>2.17</v>
      </c>
      <c r="D30" s="35">
        <v>0.39</v>
      </c>
      <c r="E30" s="33">
        <f t="shared" si="1"/>
        <v>1.7799999999999998</v>
      </c>
      <c r="F30" s="36"/>
    </row>
    <row r="31" spans="2:7" x14ac:dyDescent="0.25">
      <c r="B31" s="17" t="s">
        <v>114</v>
      </c>
      <c r="C31" s="26">
        <v>2.46</v>
      </c>
      <c r="D31" s="35">
        <v>0.51</v>
      </c>
      <c r="E31" s="33">
        <f t="shared" si="1"/>
        <v>1.95</v>
      </c>
    </row>
    <row r="32" spans="2:7" x14ac:dyDescent="0.25">
      <c r="B32" s="17" t="s">
        <v>105</v>
      </c>
      <c r="C32" s="34">
        <v>25.92</v>
      </c>
      <c r="D32" s="35">
        <v>2.2200000000000002</v>
      </c>
      <c r="E32" s="33">
        <f t="shared" si="1"/>
        <v>23.700000000000003</v>
      </c>
    </row>
    <row r="33" spans="2:7" x14ac:dyDescent="0.25">
      <c r="B33" s="80" t="s">
        <v>63</v>
      </c>
      <c r="C33" s="39">
        <f>MEDIAN(C25:C32)</f>
        <v>28.225000000000001</v>
      </c>
      <c r="D33" s="39">
        <f>MEDIAN(D25:D32)</f>
        <v>2.6950000000000003</v>
      </c>
      <c r="E33" s="38">
        <f>MEDIAN(E25:E32)</f>
        <v>25.53</v>
      </c>
      <c r="F33" s="36"/>
    </row>
    <row r="35" spans="2:7" x14ac:dyDescent="0.25">
      <c r="C35" s="32" t="s">
        <v>117</v>
      </c>
      <c r="D35" s="17" t="s">
        <v>118</v>
      </c>
      <c r="E35" s="32" t="s">
        <v>132</v>
      </c>
      <c r="F35" s="36"/>
    </row>
    <row r="36" spans="2:7" x14ac:dyDescent="0.25">
      <c r="B36" s="17" t="s">
        <v>93</v>
      </c>
      <c r="C36" s="26">
        <v>23.75</v>
      </c>
      <c r="D36" s="35">
        <v>2.4</v>
      </c>
      <c r="E36" s="33">
        <f t="shared" ref="E36:E43" si="2">C36-D36</f>
        <v>21.35</v>
      </c>
      <c r="F36" s="36"/>
      <c r="G36" s="30"/>
    </row>
    <row r="37" spans="2:7" x14ac:dyDescent="0.25">
      <c r="B37" s="17" t="s">
        <v>38</v>
      </c>
      <c r="C37" s="26">
        <v>4.4800000000000004</v>
      </c>
      <c r="D37" s="35">
        <v>0.86</v>
      </c>
      <c r="E37" s="33">
        <f t="shared" si="2"/>
        <v>3.6200000000000006</v>
      </c>
      <c r="F37" s="36"/>
      <c r="G37" s="37"/>
    </row>
    <row r="38" spans="2:7" x14ac:dyDescent="0.25">
      <c r="B38" s="17" t="s">
        <v>89</v>
      </c>
      <c r="C38" s="26">
        <v>37.25</v>
      </c>
      <c r="D38" s="35">
        <v>4.13</v>
      </c>
      <c r="E38" s="33">
        <f t="shared" si="2"/>
        <v>33.119999999999997</v>
      </c>
      <c r="F38" s="36"/>
    </row>
    <row r="39" spans="2:7" x14ac:dyDescent="0.25">
      <c r="B39" s="17" t="s">
        <v>94</v>
      </c>
      <c r="C39" s="26">
        <v>14.53</v>
      </c>
      <c r="D39" s="35">
        <v>1.79</v>
      </c>
      <c r="E39" s="33">
        <f t="shared" si="2"/>
        <v>12.739999999999998</v>
      </c>
      <c r="F39" s="36"/>
    </row>
    <row r="40" spans="2:7" x14ac:dyDescent="0.25">
      <c r="B40" s="17" t="s">
        <v>95</v>
      </c>
      <c r="C40" s="26">
        <v>37.090000000000003</v>
      </c>
      <c r="D40" s="35">
        <v>3.67</v>
      </c>
      <c r="E40" s="33">
        <f t="shared" si="2"/>
        <v>33.42</v>
      </c>
      <c r="F40" s="36"/>
    </row>
    <row r="41" spans="2:7" x14ac:dyDescent="0.25">
      <c r="B41" s="17" t="s">
        <v>91</v>
      </c>
      <c r="C41" s="26">
        <v>43.13</v>
      </c>
      <c r="D41" s="35">
        <v>4.3</v>
      </c>
      <c r="E41" s="33">
        <f t="shared" si="2"/>
        <v>38.830000000000005</v>
      </c>
      <c r="F41" s="36"/>
    </row>
    <row r="42" spans="2:7" x14ac:dyDescent="0.25">
      <c r="B42" s="17" t="s">
        <v>35</v>
      </c>
      <c r="C42" s="26">
        <v>50.19</v>
      </c>
      <c r="D42" s="35">
        <v>4.96</v>
      </c>
      <c r="E42" s="33">
        <f t="shared" si="2"/>
        <v>45.23</v>
      </c>
    </row>
    <row r="43" spans="2:7" x14ac:dyDescent="0.25">
      <c r="B43" s="17" t="s">
        <v>36</v>
      </c>
      <c r="C43" s="26">
        <v>28.24</v>
      </c>
      <c r="D43" s="35">
        <v>2.6</v>
      </c>
      <c r="E43" s="33">
        <f t="shared" si="2"/>
        <v>25.639999999999997</v>
      </c>
    </row>
    <row r="44" spans="2:7" x14ac:dyDescent="0.25">
      <c r="B44" s="80" t="s">
        <v>63</v>
      </c>
      <c r="C44" s="39">
        <f>MEDIAN(C36:C43)</f>
        <v>32.664999999999999</v>
      </c>
      <c r="D44" s="39">
        <f>MEDIAN(D36:D43)</f>
        <v>3.1349999999999998</v>
      </c>
      <c r="E44" s="38">
        <f>MEDIAN(E36:E43)</f>
        <v>29.379999999999995</v>
      </c>
    </row>
  </sheetData>
  <sortState xmlns:xlrd2="http://schemas.microsoft.com/office/spreadsheetml/2017/richdata2" ref="B4:E10">
    <sortCondition ref="B3:B10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2A2-9DDD-459A-A714-12739BE63E4E}">
  <dimension ref="B3:M24"/>
  <sheetViews>
    <sheetView workbookViewId="0">
      <selection activeCell="M8" sqref="M8:M10"/>
    </sheetView>
  </sheetViews>
  <sheetFormatPr defaultRowHeight="13.2" x14ac:dyDescent="0.25"/>
  <sheetData>
    <row r="3" spans="2:13" x14ac:dyDescent="0.25">
      <c r="D3" s="62" t="s">
        <v>131</v>
      </c>
      <c r="E3" s="44"/>
      <c r="L3" s="62" t="s">
        <v>131</v>
      </c>
      <c r="M3" s="44"/>
    </row>
    <row r="4" spans="2:13" x14ac:dyDescent="0.25">
      <c r="C4" s="12"/>
      <c r="D4" s="17" t="s">
        <v>67</v>
      </c>
      <c r="E4" s="17" t="s">
        <v>66</v>
      </c>
      <c r="L4" s="17" t="s">
        <v>67</v>
      </c>
      <c r="M4" s="17" t="s">
        <v>66</v>
      </c>
    </row>
    <row r="5" spans="2:13" x14ac:dyDescent="0.25">
      <c r="B5" s="66" t="s">
        <v>134</v>
      </c>
      <c r="C5" s="62" t="s">
        <v>67</v>
      </c>
      <c r="D5" s="78">
        <v>50.19</v>
      </c>
      <c r="E5" s="78">
        <v>76.69</v>
      </c>
      <c r="J5" s="62" t="s">
        <v>62</v>
      </c>
      <c r="K5" s="91" t="s">
        <v>67</v>
      </c>
      <c r="L5" s="26">
        <v>37.25</v>
      </c>
      <c r="M5" s="26">
        <v>35</v>
      </c>
    </row>
    <row r="6" spans="2:13" x14ac:dyDescent="0.25">
      <c r="B6" s="67"/>
      <c r="C6" s="62"/>
      <c r="D6" s="78">
        <v>43.13</v>
      </c>
      <c r="E6" s="78">
        <v>47.87</v>
      </c>
      <c r="J6" s="62"/>
      <c r="K6" s="62"/>
      <c r="L6" s="26">
        <v>37.090000000000003</v>
      </c>
      <c r="M6" s="26">
        <v>30.53</v>
      </c>
    </row>
    <row r="7" spans="2:13" x14ac:dyDescent="0.25">
      <c r="B7" s="67"/>
      <c r="C7" s="62"/>
      <c r="D7" s="26">
        <v>37.25</v>
      </c>
      <c r="E7" s="26">
        <v>35</v>
      </c>
      <c r="J7" s="62"/>
      <c r="K7" s="62"/>
      <c r="L7" s="26">
        <v>28.24</v>
      </c>
      <c r="M7" s="34">
        <v>25.92</v>
      </c>
    </row>
    <row r="8" spans="2:13" x14ac:dyDescent="0.25">
      <c r="B8" s="67"/>
      <c r="C8" s="62"/>
      <c r="D8" s="26">
        <v>37.090000000000003</v>
      </c>
      <c r="E8" s="26">
        <v>30.53</v>
      </c>
      <c r="J8" s="62"/>
      <c r="K8" s="90" t="s">
        <v>66</v>
      </c>
      <c r="L8" s="26">
        <v>32.32</v>
      </c>
      <c r="M8" s="26">
        <v>34.08</v>
      </c>
    </row>
    <row r="9" spans="2:13" x14ac:dyDescent="0.25">
      <c r="B9" s="67"/>
      <c r="C9" s="62"/>
      <c r="D9" s="26">
        <v>28.24</v>
      </c>
      <c r="E9" s="34">
        <v>25.92</v>
      </c>
      <c r="J9" s="62"/>
      <c r="K9" s="90"/>
      <c r="L9" s="34">
        <v>28.02</v>
      </c>
      <c r="M9" s="26">
        <v>28.92</v>
      </c>
    </row>
    <row r="10" spans="2:13" x14ac:dyDescent="0.25">
      <c r="B10" s="67"/>
      <c r="C10" s="62"/>
      <c r="D10" s="78">
        <v>23.75</v>
      </c>
      <c r="E10" s="78">
        <v>7.31</v>
      </c>
      <c r="G10" s="82"/>
      <c r="H10" s="82"/>
      <c r="I10" s="82"/>
      <c r="J10" s="62"/>
      <c r="K10" s="90"/>
      <c r="L10" s="26">
        <v>23.74</v>
      </c>
      <c r="M10" s="26">
        <v>9.3800000000000008</v>
      </c>
    </row>
    <row r="11" spans="2:13" x14ac:dyDescent="0.25">
      <c r="B11" s="67"/>
      <c r="C11" s="62"/>
      <c r="D11" s="78">
        <v>14.53</v>
      </c>
      <c r="E11" s="78">
        <v>2.46</v>
      </c>
      <c r="G11" s="82"/>
      <c r="H11" s="82"/>
      <c r="I11" s="82"/>
    </row>
    <row r="12" spans="2:13" x14ac:dyDescent="0.25">
      <c r="B12" s="67"/>
      <c r="C12" s="62"/>
      <c r="D12" s="78">
        <v>4.4800000000000004</v>
      </c>
      <c r="E12" s="78">
        <v>2.17</v>
      </c>
      <c r="G12" s="82"/>
      <c r="H12" s="82"/>
      <c r="I12" s="82"/>
    </row>
    <row r="13" spans="2:13" x14ac:dyDescent="0.25">
      <c r="B13" s="67"/>
      <c r="C13" s="62" t="s">
        <v>66</v>
      </c>
      <c r="D13" s="78">
        <v>36.64</v>
      </c>
      <c r="E13" s="78">
        <v>38.01</v>
      </c>
      <c r="G13" s="82"/>
      <c r="H13" s="82"/>
      <c r="I13" s="82"/>
    </row>
    <row r="14" spans="2:13" x14ac:dyDescent="0.25">
      <c r="B14" s="67"/>
      <c r="C14" s="62"/>
      <c r="D14" s="78">
        <v>32.950000000000003</v>
      </c>
      <c r="E14" s="78">
        <v>36.630000000000003</v>
      </c>
      <c r="G14" s="82"/>
      <c r="H14" s="82"/>
    </row>
    <row r="15" spans="2:13" x14ac:dyDescent="0.25">
      <c r="B15" s="67"/>
      <c r="C15" s="62"/>
      <c r="D15" s="26">
        <v>32.32</v>
      </c>
      <c r="E15" s="26">
        <v>34.08</v>
      </c>
      <c r="G15" s="82"/>
      <c r="H15" s="82"/>
    </row>
    <row r="16" spans="2:13" x14ac:dyDescent="0.25">
      <c r="B16" s="67"/>
      <c r="C16" s="62"/>
      <c r="D16" s="34">
        <v>28.02</v>
      </c>
      <c r="E16" s="26">
        <v>28.92</v>
      </c>
      <c r="G16" s="82"/>
      <c r="H16" s="82"/>
    </row>
    <row r="17" spans="2:8" x14ac:dyDescent="0.25">
      <c r="B17" s="67"/>
      <c r="C17" s="62"/>
      <c r="D17" s="26">
        <v>23.74</v>
      </c>
      <c r="E17" s="26">
        <v>9.3800000000000008</v>
      </c>
      <c r="G17" s="82"/>
      <c r="H17" s="82"/>
    </row>
    <row r="18" spans="2:8" x14ac:dyDescent="0.25">
      <c r="B18" s="67"/>
      <c r="C18" s="62"/>
      <c r="D18" s="78">
        <v>8.24</v>
      </c>
      <c r="E18" s="78">
        <v>1.45</v>
      </c>
      <c r="G18" s="82"/>
      <c r="H18" s="82"/>
    </row>
    <row r="19" spans="2:8" x14ac:dyDescent="0.25">
      <c r="B19" s="67"/>
      <c r="C19" s="62"/>
      <c r="D19" s="78">
        <v>5.68</v>
      </c>
      <c r="E19" s="78">
        <v>1.27</v>
      </c>
      <c r="G19" s="82"/>
      <c r="H19" s="82"/>
    </row>
    <row r="20" spans="2:8" x14ac:dyDescent="0.25">
      <c r="B20" s="67"/>
      <c r="C20" s="62"/>
      <c r="D20" s="78">
        <v>0.33</v>
      </c>
      <c r="E20" s="78">
        <v>0.47</v>
      </c>
      <c r="G20" s="82"/>
      <c r="H20" s="82"/>
    </row>
    <row r="23" spans="2:8" x14ac:dyDescent="0.25">
      <c r="D23" s="82">
        <f>MEDIAN(D5:D12)</f>
        <v>32.664999999999999</v>
      </c>
      <c r="E23" s="82">
        <f>MEDIAN(E5:E12)</f>
        <v>28.225000000000001</v>
      </c>
    </row>
    <row r="24" spans="2:8" x14ac:dyDescent="0.25">
      <c r="D24" s="82">
        <f>MEDIAN(D13:D20)</f>
        <v>25.88</v>
      </c>
      <c r="E24" s="82">
        <f>MEDIAN(E13:E20)</f>
        <v>19.149999999999999</v>
      </c>
    </row>
  </sheetData>
  <sortState xmlns:xlrd2="http://schemas.microsoft.com/office/spreadsheetml/2017/richdata2" ref="D5:D12">
    <sortCondition descending="1" ref="D5:D12"/>
  </sortState>
  <mergeCells count="8">
    <mergeCell ref="L3:M3"/>
    <mergeCell ref="J5:J10"/>
    <mergeCell ref="K5:K7"/>
    <mergeCell ref="K8:K10"/>
    <mergeCell ref="D3:E3"/>
    <mergeCell ref="C5:C12"/>
    <mergeCell ref="C13:C20"/>
    <mergeCell ref="B5:B2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9407-6E45-4703-AFD0-B90610D90CFE}">
  <dimension ref="A1:G30"/>
  <sheetViews>
    <sheetView workbookViewId="0">
      <selection activeCell="A4" sqref="A4"/>
    </sheetView>
  </sheetViews>
  <sheetFormatPr defaultRowHeight="13.2" x14ac:dyDescent="0.25"/>
  <cols>
    <col min="1" max="1" width="28.21875" bestFit="1" customWidth="1"/>
    <col min="2" max="6" width="12" bestFit="1" customWidth="1"/>
  </cols>
  <sheetData>
    <row r="1" spans="1:4" x14ac:dyDescent="0.25">
      <c r="A1" t="s">
        <v>70</v>
      </c>
    </row>
    <row r="3" spans="1:4" x14ac:dyDescent="0.25">
      <c r="A3" t="s">
        <v>71</v>
      </c>
      <c r="B3" t="s">
        <v>67</v>
      </c>
      <c r="C3" t="s">
        <v>66</v>
      </c>
      <c r="D3" t="s">
        <v>72</v>
      </c>
    </row>
    <row r="4" spans="1:4" ht="13.8" thickBot="1" x14ac:dyDescent="0.3">
      <c r="A4" s="23" t="s">
        <v>69</v>
      </c>
      <c r="B4" s="23"/>
      <c r="C4" s="23"/>
      <c r="D4" s="23"/>
    </row>
    <row r="5" spans="1:4" x14ac:dyDescent="0.25">
      <c r="A5" s="22" t="s">
        <v>73</v>
      </c>
      <c r="B5" s="22">
        <v>3</v>
      </c>
      <c r="C5" s="22">
        <v>3</v>
      </c>
      <c r="D5" s="22">
        <v>6</v>
      </c>
    </row>
    <row r="6" spans="1:4" x14ac:dyDescent="0.25">
      <c r="A6" s="22" t="s">
        <v>74</v>
      </c>
      <c r="B6" s="22">
        <v>102.58</v>
      </c>
      <c r="C6" s="22">
        <v>91.45</v>
      </c>
      <c r="D6" s="22">
        <v>194.03000000000003</v>
      </c>
    </row>
    <row r="7" spans="1:4" x14ac:dyDescent="0.25">
      <c r="A7" s="22" t="s">
        <v>75</v>
      </c>
      <c r="B7" s="22">
        <v>34.193333333333335</v>
      </c>
      <c r="C7" s="22">
        <v>30.483333333333334</v>
      </c>
      <c r="D7" s="22">
        <v>32.338333333333338</v>
      </c>
    </row>
    <row r="8" spans="1:4" x14ac:dyDescent="0.25">
      <c r="A8" s="22" t="s">
        <v>76</v>
      </c>
      <c r="B8" s="22">
        <v>26.588033333333669</v>
      </c>
      <c r="C8" s="22">
        <v>20.613233333333255</v>
      </c>
      <c r="D8" s="22">
        <v>23.009736666666321</v>
      </c>
    </row>
    <row r="9" spans="1:4" x14ac:dyDescent="0.25">
      <c r="A9" s="22"/>
      <c r="B9" s="22"/>
      <c r="C9" s="22"/>
      <c r="D9" s="22"/>
    </row>
    <row r="10" spans="1:4" ht="13.8" thickBot="1" x14ac:dyDescent="0.3">
      <c r="A10" s="23" t="s">
        <v>131</v>
      </c>
      <c r="B10" s="23"/>
      <c r="C10" s="23"/>
      <c r="D10" s="23"/>
    </row>
    <row r="11" spans="1:4" x14ac:dyDescent="0.25">
      <c r="A11" s="22" t="s">
        <v>73</v>
      </c>
      <c r="B11" s="22">
        <v>3</v>
      </c>
      <c r="C11" s="22">
        <v>3</v>
      </c>
      <c r="D11" s="22">
        <v>6</v>
      </c>
    </row>
    <row r="12" spans="1:4" x14ac:dyDescent="0.25">
      <c r="A12" s="22" t="s">
        <v>74</v>
      </c>
      <c r="B12" s="22">
        <v>84.08</v>
      </c>
      <c r="C12" s="22">
        <v>72.38</v>
      </c>
      <c r="D12" s="22">
        <v>156.46</v>
      </c>
    </row>
    <row r="13" spans="1:4" x14ac:dyDescent="0.25">
      <c r="A13" s="22" t="s">
        <v>75</v>
      </c>
      <c r="B13" s="22">
        <v>28.026666666666667</v>
      </c>
      <c r="C13" s="22">
        <v>24.126666666666665</v>
      </c>
      <c r="D13" s="22">
        <v>26.076666666666668</v>
      </c>
    </row>
    <row r="14" spans="1:4" x14ac:dyDescent="0.25">
      <c r="A14" s="22" t="s">
        <v>76</v>
      </c>
      <c r="B14" s="22">
        <v>18.40413333333322</v>
      </c>
      <c r="C14" s="22">
        <v>169.75453333333337</v>
      </c>
      <c r="D14" s="22">
        <v>79.826466666666505</v>
      </c>
    </row>
    <row r="15" spans="1:4" x14ac:dyDescent="0.25">
      <c r="A15" s="22"/>
      <c r="B15" s="22"/>
      <c r="C15" s="22"/>
      <c r="D15" s="22"/>
    </row>
    <row r="16" spans="1:4" ht="13.8" thickBot="1" x14ac:dyDescent="0.3">
      <c r="A16" s="23" t="s">
        <v>72</v>
      </c>
      <c r="B16" s="23"/>
      <c r="C16" s="23"/>
      <c r="D16" s="23"/>
    </row>
    <row r="17" spans="1:7" x14ac:dyDescent="0.25">
      <c r="A17" s="22" t="s">
        <v>73</v>
      </c>
      <c r="B17" s="22">
        <v>6</v>
      </c>
      <c r="C17" s="22">
        <v>6</v>
      </c>
      <c r="D17" s="22"/>
    </row>
    <row r="18" spans="1:7" x14ac:dyDescent="0.25">
      <c r="A18" s="22" t="s">
        <v>74</v>
      </c>
      <c r="B18" s="22">
        <v>186.66</v>
      </c>
      <c r="C18" s="22">
        <v>163.82999999999998</v>
      </c>
      <c r="D18" s="22"/>
    </row>
    <row r="19" spans="1:7" x14ac:dyDescent="0.25">
      <c r="A19" s="22" t="s">
        <v>75</v>
      </c>
      <c r="B19" s="22">
        <v>31.110000000000003</v>
      </c>
      <c r="C19" s="22">
        <v>27.304999999999996</v>
      </c>
      <c r="D19" s="22"/>
    </row>
    <row r="20" spans="1:7" x14ac:dyDescent="0.25">
      <c r="A20" s="22" t="s">
        <v>76</v>
      </c>
      <c r="B20" s="22">
        <v>29.405199999999788</v>
      </c>
      <c r="C20" s="22">
        <v>88.269270000000148</v>
      </c>
      <c r="D20" s="22"/>
    </row>
    <row r="21" spans="1:7" x14ac:dyDescent="0.25">
      <c r="A21" s="22"/>
      <c r="B21" s="22"/>
      <c r="C21" s="22"/>
      <c r="D21" s="22"/>
    </row>
    <row r="23" spans="1:7" ht="13.8" thickBot="1" x14ac:dyDescent="0.3">
      <c r="A23" t="s">
        <v>77</v>
      </c>
    </row>
    <row r="24" spans="1:7" x14ac:dyDescent="0.25">
      <c r="A24" s="25" t="s">
        <v>78</v>
      </c>
      <c r="B24" s="25" t="s">
        <v>79</v>
      </c>
      <c r="C24" s="25" t="s">
        <v>80</v>
      </c>
      <c r="D24" s="25" t="s">
        <v>81</v>
      </c>
      <c r="E24" s="25" t="s">
        <v>82</v>
      </c>
      <c r="F24" s="25" t="s">
        <v>83</v>
      </c>
      <c r="G24" s="25" t="s">
        <v>84</v>
      </c>
    </row>
    <row r="25" spans="1:7" ht="13.8" thickBot="1" x14ac:dyDescent="0.3">
      <c r="A25" s="93" t="s">
        <v>69</v>
      </c>
      <c r="B25" s="22">
        <v>117.62540833333355</v>
      </c>
      <c r="C25" s="22">
        <v>1</v>
      </c>
      <c r="D25" s="22">
        <v>117.62540833333355</v>
      </c>
      <c r="E25" s="22">
        <v>1.9990727676956663</v>
      </c>
      <c r="F25" s="22">
        <v>0.19510844453333015</v>
      </c>
      <c r="G25" s="22">
        <v>5.3176550715787174</v>
      </c>
    </row>
    <row r="26" spans="1:7" x14ac:dyDescent="0.25">
      <c r="A26" s="29" t="s">
        <v>131</v>
      </c>
      <c r="B26" s="22">
        <v>43.434075000000007</v>
      </c>
      <c r="C26" s="22">
        <v>1</v>
      </c>
      <c r="D26" s="22">
        <v>43.434075000000007</v>
      </c>
      <c r="E26" s="22">
        <v>0.73817279576614436</v>
      </c>
      <c r="F26" s="22">
        <v>0.41524779376442444</v>
      </c>
      <c r="G26" s="22">
        <v>5.3176550715787174</v>
      </c>
    </row>
    <row r="27" spans="1:7" x14ac:dyDescent="0.25">
      <c r="A27" s="22" t="s">
        <v>85</v>
      </c>
      <c r="B27" s="22">
        <v>2.7074999999854299E-2</v>
      </c>
      <c r="C27" s="22">
        <v>1</v>
      </c>
      <c r="D27" s="22">
        <v>2.7074999999854299E-2</v>
      </c>
      <c r="E27" s="22">
        <v>4.6014628941126989E-4</v>
      </c>
      <c r="F27" s="22">
        <v>0.98341125380928274</v>
      </c>
      <c r="G27" s="22">
        <v>5.3176550715787174</v>
      </c>
    </row>
    <row r="28" spans="1:7" x14ac:dyDescent="0.25">
      <c r="A28" s="22" t="s">
        <v>86</v>
      </c>
      <c r="B28" s="22">
        <v>470.71986666666669</v>
      </c>
      <c r="C28" s="22">
        <v>8</v>
      </c>
      <c r="D28" s="22">
        <v>58.839983333333336</v>
      </c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ht="13.8" thickBot="1" x14ac:dyDescent="0.3">
      <c r="A30" s="24" t="s">
        <v>72</v>
      </c>
      <c r="B30" s="24">
        <v>631.8064250000001</v>
      </c>
      <c r="C30" s="24">
        <v>11</v>
      </c>
      <c r="D30" s="24"/>
      <c r="E30" s="24"/>
      <c r="F30" s="24"/>
      <c r="G30" s="24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8D98-4312-47D8-9E22-D130ACA9ADC6}">
  <dimension ref="A1"/>
  <sheetViews>
    <sheetView workbookViewId="0">
      <selection activeCell="O7" sqref="O7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1C61-79C1-4F02-9484-51E31CDA5D5F}">
  <dimension ref="B5:K26"/>
  <sheetViews>
    <sheetView workbookViewId="0">
      <selection activeCell="K11" sqref="K11:K12"/>
    </sheetView>
  </sheetViews>
  <sheetFormatPr defaultRowHeight="13.2" x14ac:dyDescent="0.25"/>
  <sheetData>
    <row r="5" spans="2:11" x14ac:dyDescent="0.25">
      <c r="D5" s="62" t="s">
        <v>131</v>
      </c>
      <c r="E5" s="44"/>
    </row>
    <row r="6" spans="2:11" x14ac:dyDescent="0.25">
      <c r="C6" s="12"/>
      <c r="D6" s="17" t="s">
        <v>67</v>
      </c>
      <c r="E6" s="17" t="s">
        <v>66</v>
      </c>
      <c r="J6" s="62" t="s">
        <v>131</v>
      </c>
      <c r="K6" s="44"/>
    </row>
    <row r="7" spans="2:11" x14ac:dyDescent="0.25">
      <c r="B7" s="66" t="s">
        <v>134</v>
      </c>
      <c r="C7" s="62" t="s">
        <v>67</v>
      </c>
      <c r="D7" s="83">
        <v>4.96</v>
      </c>
      <c r="E7" s="83">
        <v>6.69</v>
      </c>
      <c r="G7" s="82"/>
      <c r="H7" s="82"/>
      <c r="J7" s="17" t="s">
        <v>67</v>
      </c>
      <c r="K7" s="17" t="s">
        <v>65</v>
      </c>
    </row>
    <row r="8" spans="2:11" x14ac:dyDescent="0.25">
      <c r="B8" s="67"/>
      <c r="C8" s="62"/>
      <c r="D8" s="83">
        <v>4.3</v>
      </c>
      <c r="E8" s="83">
        <v>5.39</v>
      </c>
      <c r="G8" s="82"/>
      <c r="H8" s="90" t="s">
        <v>62</v>
      </c>
      <c r="I8" s="62" t="s">
        <v>67</v>
      </c>
      <c r="J8" s="35">
        <v>4.13</v>
      </c>
      <c r="K8" s="35">
        <v>3.65</v>
      </c>
    </row>
    <row r="9" spans="2:11" x14ac:dyDescent="0.25">
      <c r="B9" s="67"/>
      <c r="C9" s="62"/>
      <c r="D9" s="35">
        <v>4.13</v>
      </c>
      <c r="E9" s="35">
        <v>3.65</v>
      </c>
      <c r="G9" s="82"/>
      <c r="H9" s="92"/>
      <c r="I9" s="62"/>
      <c r="J9" s="35">
        <v>3.67</v>
      </c>
      <c r="K9" s="35">
        <v>3.17</v>
      </c>
    </row>
    <row r="10" spans="2:11" x14ac:dyDescent="0.25">
      <c r="B10" s="67"/>
      <c r="C10" s="62"/>
      <c r="D10" s="35">
        <v>3.67</v>
      </c>
      <c r="E10" s="35">
        <v>3.17</v>
      </c>
      <c r="G10" s="82"/>
      <c r="H10" s="92"/>
      <c r="I10" s="62"/>
      <c r="J10" s="35">
        <v>2.6</v>
      </c>
      <c r="K10" s="35">
        <v>2.2200000000000002</v>
      </c>
    </row>
    <row r="11" spans="2:11" x14ac:dyDescent="0.25">
      <c r="B11" s="67"/>
      <c r="C11" s="62"/>
      <c r="D11" s="35">
        <v>2.6</v>
      </c>
      <c r="E11" s="35">
        <v>2.2200000000000002</v>
      </c>
      <c r="G11" s="82"/>
      <c r="H11" s="92"/>
      <c r="I11" s="62" t="s">
        <v>66</v>
      </c>
      <c r="J11" s="35">
        <v>2.69</v>
      </c>
      <c r="K11" s="35">
        <v>2.76</v>
      </c>
    </row>
    <row r="12" spans="2:11" x14ac:dyDescent="0.25">
      <c r="B12" s="67"/>
      <c r="C12" s="62"/>
      <c r="D12" s="83">
        <v>2.4</v>
      </c>
      <c r="E12" s="83">
        <v>1.1000000000000001</v>
      </c>
      <c r="G12" s="82"/>
      <c r="H12" s="92"/>
      <c r="I12" s="62"/>
      <c r="J12" s="35">
        <v>2.62</v>
      </c>
      <c r="K12" s="35">
        <v>1.1299999999999999</v>
      </c>
    </row>
    <row r="13" spans="2:11" x14ac:dyDescent="0.25">
      <c r="B13" s="67"/>
      <c r="C13" s="62"/>
      <c r="D13" s="83">
        <v>1.79</v>
      </c>
      <c r="E13" s="83">
        <v>0.51</v>
      </c>
      <c r="G13" s="82"/>
      <c r="H13" s="92"/>
      <c r="I13" s="62"/>
      <c r="J13" s="35">
        <v>0.97</v>
      </c>
      <c r="K13" s="35">
        <v>0.26</v>
      </c>
    </row>
    <row r="14" spans="2:11" x14ac:dyDescent="0.25">
      <c r="B14" s="67"/>
      <c r="C14" s="62"/>
      <c r="D14" s="83">
        <v>0.86</v>
      </c>
      <c r="E14" s="83">
        <v>0.39</v>
      </c>
      <c r="G14" s="82"/>
      <c r="H14" s="82"/>
    </row>
    <row r="15" spans="2:11" x14ac:dyDescent="0.25">
      <c r="B15" s="67"/>
      <c r="C15" s="62" t="s">
        <v>66</v>
      </c>
      <c r="D15" s="83">
        <v>3.67</v>
      </c>
      <c r="E15" s="83">
        <v>4.8899999999999997</v>
      </c>
      <c r="G15" s="82"/>
      <c r="H15" s="82"/>
    </row>
    <row r="16" spans="2:11" x14ac:dyDescent="0.25">
      <c r="B16" s="67"/>
      <c r="C16" s="62"/>
      <c r="D16" s="83">
        <v>3.49</v>
      </c>
      <c r="E16" s="83">
        <v>4.43</v>
      </c>
      <c r="G16" s="82"/>
      <c r="H16" s="82"/>
    </row>
    <row r="17" spans="2:8" x14ac:dyDescent="0.25">
      <c r="B17" s="67"/>
      <c r="C17" s="62"/>
      <c r="D17" s="83">
        <v>3.04</v>
      </c>
      <c r="E17" s="83">
        <v>4.04</v>
      </c>
      <c r="G17" s="82"/>
      <c r="H17" s="82"/>
    </row>
    <row r="18" spans="2:8" x14ac:dyDescent="0.25">
      <c r="B18" s="67"/>
      <c r="C18" s="62"/>
      <c r="D18" s="35">
        <v>2.69</v>
      </c>
      <c r="E18" s="35">
        <v>2.76</v>
      </c>
      <c r="G18" s="82"/>
      <c r="H18" s="82"/>
    </row>
    <row r="19" spans="2:8" x14ac:dyDescent="0.25">
      <c r="B19" s="67"/>
      <c r="C19" s="62"/>
      <c r="D19" s="35">
        <v>2.62</v>
      </c>
      <c r="E19" s="35">
        <v>1.1299999999999999</v>
      </c>
      <c r="G19" s="82"/>
      <c r="H19" s="82"/>
    </row>
    <row r="20" spans="2:8" x14ac:dyDescent="0.25">
      <c r="B20" s="67"/>
      <c r="C20" s="62"/>
      <c r="D20" s="35">
        <v>0.97</v>
      </c>
      <c r="E20" s="35">
        <v>0.26</v>
      </c>
      <c r="G20" s="82"/>
      <c r="H20" s="82"/>
    </row>
    <row r="21" spans="2:8" x14ac:dyDescent="0.25">
      <c r="B21" s="67"/>
      <c r="C21" s="62"/>
      <c r="D21" s="83">
        <v>0.84</v>
      </c>
      <c r="E21" s="83">
        <v>0.22</v>
      </c>
      <c r="G21" s="82"/>
      <c r="H21" s="82"/>
    </row>
    <row r="22" spans="2:8" x14ac:dyDescent="0.25">
      <c r="B22" s="67"/>
      <c r="C22" s="62"/>
      <c r="D22" s="83">
        <v>0.09</v>
      </c>
      <c r="E22" s="83">
        <v>0.2</v>
      </c>
      <c r="G22" s="82"/>
      <c r="H22" s="82"/>
    </row>
    <row r="25" spans="2:8" x14ac:dyDescent="0.25">
      <c r="D25" s="82">
        <f>MEDIAN(D7:D14)</f>
        <v>3.1349999999999998</v>
      </c>
      <c r="E25" s="82">
        <f>MEDIAN(E7:E14)</f>
        <v>2.6950000000000003</v>
      </c>
    </row>
    <row r="26" spans="2:8" x14ac:dyDescent="0.25">
      <c r="D26" s="82">
        <f>MEDIAN(D15:D22)</f>
        <v>2.6550000000000002</v>
      </c>
      <c r="E26" s="82">
        <f>MEDIAN(E15:E22)</f>
        <v>1.9449999999999998</v>
      </c>
    </row>
  </sheetData>
  <sortState xmlns:xlrd2="http://schemas.microsoft.com/office/spreadsheetml/2017/richdata2" ref="E15:E22">
    <sortCondition descending="1" ref="E15:E22"/>
  </sortState>
  <mergeCells count="8">
    <mergeCell ref="J6:K6"/>
    <mergeCell ref="D5:E5"/>
    <mergeCell ref="B7:B22"/>
    <mergeCell ref="C7:C14"/>
    <mergeCell ref="C15:C22"/>
    <mergeCell ref="I8:I10"/>
    <mergeCell ref="I11:I13"/>
    <mergeCell ref="H8:H1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D856-9F48-413D-B712-58252DF23483}">
  <dimension ref="A1:G30"/>
  <sheetViews>
    <sheetView workbookViewId="0">
      <selection activeCell="I23" sqref="I23"/>
    </sheetView>
  </sheetViews>
  <sheetFormatPr defaultRowHeight="13.2" x14ac:dyDescent="0.25"/>
  <cols>
    <col min="1" max="1" width="28.21875" bestFit="1" customWidth="1"/>
    <col min="2" max="7" width="12" bestFit="1" customWidth="1"/>
  </cols>
  <sheetData>
    <row r="1" spans="1:4" x14ac:dyDescent="0.25">
      <c r="A1" t="s">
        <v>70</v>
      </c>
    </row>
    <row r="3" spans="1:4" x14ac:dyDescent="0.25">
      <c r="A3" t="s">
        <v>71</v>
      </c>
      <c r="B3" t="s">
        <v>67</v>
      </c>
      <c r="C3" t="s">
        <v>65</v>
      </c>
      <c r="D3" t="s">
        <v>72</v>
      </c>
    </row>
    <row r="4" spans="1:4" ht="13.8" thickBot="1" x14ac:dyDescent="0.3">
      <c r="A4" s="23" t="s">
        <v>69</v>
      </c>
      <c r="B4" s="23"/>
      <c r="C4" s="23"/>
      <c r="D4" s="23"/>
    </row>
    <row r="5" spans="1:4" x14ac:dyDescent="0.25">
      <c r="A5" s="22" t="s">
        <v>73</v>
      </c>
      <c r="B5" s="22">
        <v>3</v>
      </c>
      <c r="C5" s="22">
        <v>3</v>
      </c>
      <c r="D5" s="22">
        <v>6</v>
      </c>
    </row>
    <row r="6" spans="1:4" x14ac:dyDescent="0.25">
      <c r="A6" s="22" t="s">
        <v>74</v>
      </c>
      <c r="B6" s="22">
        <v>10.4</v>
      </c>
      <c r="C6" s="22">
        <v>9.0400000000000009</v>
      </c>
      <c r="D6" s="22">
        <v>19.439999999999998</v>
      </c>
    </row>
    <row r="7" spans="1:4" x14ac:dyDescent="0.25">
      <c r="A7" s="22" t="s">
        <v>75</v>
      </c>
      <c r="B7" s="22">
        <v>3.4666666666666668</v>
      </c>
      <c r="C7" s="22">
        <v>3.0133333333333336</v>
      </c>
      <c r="D7" s="22">
        <v>3.2399999999999998</v>
      </c>
    </row>
    <row r="8" spans="1:4" x14ac:dyDescent="0.25">
      <c r="A8" s="22" t="s">
        <v>76</v>
      </c>
      <c r="B8" s="22">
        <v>0.61623333333333008</v>
      </c>
      <c r="C8" s="22">
        <v>0.5296333333333294</v>
      </c>
      <c r="D8" s="22">
        <v>0.52000000000000313</v>
      </c>
    </row>
    <row r="9" spans="1:4" x14ac:dyDescent="0.25">
      <c r="A9" s="22"/>
      <c r="B9" s="22"/>
      <c r="C9" s="22"/>
      <c r="D9" s="22"/>
    </row>
    <row r="10" spans="1:4" ht="13.8" thickBot="1" x14ac:dyDescent="0.3">
      <c r="A10" s="23" t="s">
        <v>131</v>
      </c>
      <c r="B10" s="23"/>
      <c r="C10" s="23"/>
      <c r="D10" s="23"/>
    </row>
    <row r="11" spans="1:4" x14ac:dyDescent="0.25">
      <c r="A11" s="22" t="s">
        <v>73</v>
      </c>
      <c r="B11" s="22">
        <v>3</v>
      </c>
      <c r="C11" s="22">
        <v>3</v>
      </c>
      <c r="D11" s="22">
        <v>6</v>
      </c>
    </row>
    <row r="12" spans="1:4" x14ac:dyDescent="0.25">
      <c r="A12" s="22" t="s">
        <v>74</v>
      </c>
      <c r="B12" s="22">
        <v>6.28</v>
      </c>
      <c r="C12" s="22">
        <v>4.1499999999999995</v>
      </c>
      <c r="D12" s="22">
        <v>10.43</v>
      </c>
    </row>
    <row r="13" spans="1:4" x14ac:dyDescent="0.25">
      <c r="A13" s="22" t="s">
        <v>75</v>
      </c>
      <c r="B13" s="22">
        <v>2.0933333333333333</v>
      </c>
      <c r="C13" s="22">
        <v>1.3833333333333331</v>
      </c>
      <c r="D13" s="22">
        <v>1.7383333333333333</v>
      </c>
    </row>
    <row r="14" spans="1:4" x14ac:dyDescent="0.25">
      <c r="A14" s="22" t="s">
        <v>76</v>
      </c>
      <c r="B14" s="22">
        <v>0.94763333333333311</v>
      </c>
      <c r="C14" s="22">
        <v>1.6106333333333338</v>
      </c>
      <c r="D14" s="22">
        <v>1.174536666666667</v>
      </c>
    </row>
    <row r="15" spans="1:4" x14ac:dyDescent="0.25">
      <c r="A15" s="22"/>
      <c r="B15" s="22"/>
      <c r="C15" s="22"/>
      <c r="D15" s="22"/>
    </row>
    <row r="16" spans="1:4" ht="13.8" thickBot="1" x14ac:dyDescent="0.3">
      <c r="A16" s="23" t="s">
        <v>72</v>
      </c>
      <c r="B16" s="23"/>
      <c r="C16" s="23"/>
      <c r="D16" s="23"/>
    </row>
    <row r="17" spans="1:7" x14ac:dyDescent="0.25">
      <c r="A17" s="22" t="s">
        <v>73</v>
      </c>
      <c r="B17" s="22">
        <v>6</v>
      </c>
      <c r="C17" s="22">
        <v>6</v>
      </c>
      <c r="D17" s="22"/>
    </row>
    <row r="18" spans="1:7" x14ac:dyDescent="0.25">
      <c r="A18" s="22" t="s">
        <v>74</v>
      </c>
      <c r="B18" s="22">
        <v>16.68</v>
      </c>
      <c r="C18" s="22">
        <v>13.190000000000001</v>
      </c>
      <c r="D18" s="22"/>
    </row>
    <row r="19" spans="1:7" x14ac:dyDescent="0.25">
      <c r="A19" s="22" t="s">
        <v>75</v>
      </c>
      <c r="B19" s="22">
        <v>2.78</v>
      </c>
      <c r="C19" s="22">
        <v>2.1983333333333333</v>
      </c>
      <c r="D19" s="22"/>
    </row>
    <row r="20" spans="1:7" x14ac:dyDescent="0.25">
      <c r="A20" s="22" t="s">
        <v>76</v>
      </c>
      <c r="B20" s="22">
        <v>1.1913600000000002</v>
      </c>
      <c r="C20" s="22">
        <v>1.653176666666667</v>
      </c>
      <c r="D20" s="22"/>
    </row>
    <row r="21" spans="1:7" x14ac:dyDescent="0.25">
      <c r="A21" s="22"/>
      <c r="B21" s="22"/>
      <c r="C21" s="22"/>
      <c r="D21" s="22"/>
    </row>
    <row r="23" spans="1:7" ht="13.8" thickBot="1" x14ac:dyDescent="0.3">
      <c r="A23" t="s">
        <v>77</v>
      </c>
    </row>
    <row r="24" spans="1:7" x14ac:dyDescent="0.25">
      <c r="A24" s="25" t="s">
        <v>78</v>
      </c>
      <c r="B24" s="25" t="s">
        <v>79</v>
      </c>
      <c r="C24" s="25" t="s">
        <v>80</v>
      </c>
      <c r="D24" s="25" t="s">
        <v>81</v>
      </c>
      <c r="E24" s="25" t="s">
        <v>82</v>
      </c>
      <c r="F24" s="25" t="s">
        <v>83</v>
      </c>
      <c r="G24" s="25" t="s">
        <v>84</v>
      </c>
    </row>
    <row r="25" spans="1:7" x14ac:dyDescent="0.25">
      <c r="A25" s="29" t="s">
        <v>69</v>
      </c>
      <c r="B25" s="22">
        <v>6.7650083333333342</v>
      </c>
      <c r="C25" s="22">
        <v>1</v>
      </c>
      <c r="D25" s="22">
        <v>6.7650083333333342</v>
      </c>
      <c r="E25" s="22">
        <v>7.3053615780569476</v>
      </c>
      <c r="F25" s="22">
        <v>2.6955100801984815E-2</v>
      </c>
      <c r="G25" s="22">
        <v>5.3176550715787174</v>
      </c>
    </row>
    <row r="26" spans="1:7" x14ac:dyDescent="0.25">
      <c r="A26" s="29" t="s">
        <v>131</v>
      </c>
      <c r="B26" s="22">
        <v>1.0150083333333342</v>
      </c>
      <c r="C26" s="22">
        <v>1</v>
      </c>
      <c r="D26" s="22">
        <v>1.0150083333333342</v>
      </c>
      <c r="E26" s="22">
        <v>1.0960818545048785</v>
      </c>
      <c r="F26" s="22">
        <v>0.32572560713987575</v>
      </c>
      <c r="G26" s="22">
        <v>5.3176550715787174</v>
      </c>
    </row>
    <row r="27" spans="1:7" x14ac:dyDescent="0.25">
      <c r="A27" s="22" t="s">
        <v>85</v>
      </c>
      <c r="B27" s="22">
        <v>4.9408333333333054E-2</v>
      </c>
      <c r="C27" s="22">
        <v>1</v>
      </c>
      <c r="D27" s="22">
        <v>4.9408333333333054E-2</v>
      </c>
      <c r="E27" s="22">
        <v>5.3354810841942046E-2</v>
      </c>
      <c r="F27" s="22">
        <v>0.82312311297661112</v>
      </c>
      <c r="G27" s="22">
        <v>5.3176550715787174</v>
      </c>
    </row>
    <row r="28" spans="1:7" x14ac:dyDescent="0.25">
      <c r="A28" s="22" t="s">
        <v>86</v>
      </c>
      <c r="B28" s="22">
        <v>7.4082666666666652</v>
      </c>
      <c r="C28" s="22">
        <v>8</v>
      </c>
      <c r="D28" s="22">
        <v>0.92603333333333315</v>
      </c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ht="13.8" thickBot="1" x14ac:dyDescent="0.3">
      <c r="A30" s="24" t="s">
        <v>72</v>
      </c>
      <c r="B30" s="24">
        <v>15.237691666666667</v>
      </c>
      <c r="C30" s="24">
        <v>11</v>
      </c>
      <c r="D30" s="24"/>
      <c r="E30" s="24"/>
      <c r="F30" s="24"/>
      <c r="G30" s="24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E01C-773B-498C-AF45-386E1A5F78D1}">
  <dimension ref="A1"/>
  <sheetViews>
    <sheetView workbookViewId="0">
      <selection activeCell="M26" sqref="M26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C548-5614-4116-A363-CC0E49DFDA51}">
  <dimension ref="B1:K34"/>
  <sheetViews>
    <sheetView tabSelected="1" workbookViewId="0">
      <selection activeCell="L17" sqref="L17"/>
    </sheetView>
  </sheetViews>
  <sheetFormatPr defaultRowHeight="13.2" x14ac:dyDescent="0.25"/>
  <cols>
    <col min="2" max="2" width="14.33203125" bestFit="1" customWidth="1"/>
    <col min="4" max="4" width="9.109375" bestFit="1" customWidth="1"/>
    <col min="5" max="5" width="9" bestFit="1" customWidth="1"/>
    <col min="6" max="6" width="12.33203125" bestFit="1" customWidth="1"/>
    <col min="7" max="8" width="12.21875" bestFit="1" customWidth="1"/>
  </cols>
  <sheetData>
    <row r="1" spans="2:11" x14ac:dyDescent="0.25">
      <c r="D1" s="62" t="s">
        <v>130</v>
      </c>
      <c r="E1" s="62"/>
      <c r="F1" s="16"/>
      <c r="G1" s="16"/>
      <c r="H1" s="16"/>
    </row>
    <row r="2" spans="2:11" x14ac:dyDescent="0.25">
      <c r="D2" s="17" t="s">
        <v>127</v>
      </c>
      <c r="E2" s="40" t="s">
        <v>128</v>
      </c>
      <c r="F2" s="41"/>
      <c r="I2" s="62" t="s">
        <v>130</v>
      </c>
      <c r="J2" s="62"/>
    </row>
    <row r="3" spans="2:11" x14ac:dyDescent="0.25">
      <c r="B3" s="66" t="s">
        <v>87</v>
      </c>
      <c r="C3" s="66" t="s">
        <v>126</v>
      </c>
      <c r="D3" s="89">
        <v>45.23</v>
      </c>
      <c r="E3" s="84">
        <v>70</v>
      </c>
      <c r="F3" s="41"/>
      <c r="I3" s="17" t="s">
        <v>127</v>
      </c>
      <c r="J3" s="40" t="s">
        <v>128</v>
      </c>
    </row>
    <row r="4" spans="2:11" x14ac:dyDescent="0.25">
      <c r="B4" s="66"/>
      <c r="C4" s="66"/>
      <c r="D4" s="89">
        <v>38.83</v>
      </c>
      <c r="E4" s="84">
        <v>42.48</v>
      </c>
      <c r="F4" s="41"/>
      <c r="G4" s="68" t="s">
        <v>87</v>
      </c>
      <c r="H4" s="68" t="s">
        <v>126</v>
      </c>
      <c r="I4" s="85">
        <v>33.42</v>
      </c>
      <c r="J4" s="17">
        <v>31.35</v>
      </c>
    </row>
    <row r="5" spans="2:11" x14ac:dyDescent="0.25">
      <c r="B5" s="66"/>
      <c r="C5" s="66"/>
      <c r="D5" s="85">
        <v>33.42</v>
      </c>
      <c r="E5" s="17">
        <v>31.35</v>
      </c>
      <c r="F5" s="41"/>
      <c r="G5" s="86"/>
      <c r="H5" s="87"/>
      <c r="I5" s="85">
        <v>33.119999999999997</v>
      </c>
      <c r="J5" s="17">
        <v>27.36</v>
      </c>
    </row>
    <row r="6" spans="2:11" x14ac:dyDescent="0.25">
      <c r="B6" s="66"/>
      <c r="C6" s="66"/>
      <c r="D6" s="85">
        <v>33.119999999999997</v>
      </c>
      <c r="E6" s="17">
        <v>27.36</v>
      </c>
      <c r="F6" s="41"/>
      <c r="G6" s="86"/>
      <c r="H6" s="66" t="s">
        <v>129</v>
      </c>
      <c r="I6" s="12">
        <v>28.83</v>
      </c>
      <c r="J6" s="12">
        <v>29.19</v>
      </c>
    </row>
    <row r="7" spans="2:11" x14ac:dyDescent="0.25">
      <c r="B7" s="66"/>
      <c r="C7" s="66"/>
      <c r="D7" s="89">
        <v>25.64</v>
      </c>
      <c r="E7" s="84">
        <v>23.7</v>
      </c>
      <c r="F7" s="41"/>
      <c r="G7" s="87"/>
      <c r="H7" s="66"/>
      <c r="I7" s="12">
        <v>25.4</v>
      </c>
      <c r="J7" s="12">
        <v>26.16</v>
      </c>
    </row>
    <row r="8" spans="2:11" x14ac:dyDescent="0.25">
      <c r="B8" s="66"/>
      <c r="C8" s="66"/>
      <c r="D8" s="89">
        <v>21.35</v>
      </c>
      <c r="E8" s="84">
        <v>6.21</v>
      </c>
      <c r="F8" s="41"/>
      <c r="G8" s="88"/>
      <c r="H8" s="88"/>
      <c r="I8" s="88"/>
      <c r="J8" s="88"/>
    </row>
    <row r="9" spans="2:11" x14ac:dyDescent="0.25">
      <c r="B9" s="66"/>
      <c r="C9" s="66"/>
      <c r="D9" s="89">
        <v>12.74</v>
      </c>
      <c r="E9" s="84">
        <v>1.95</v>
      </c>
      <c r="F9" s="41"/>
      <c r="G9" s="88"/>
      <c r="H9" s="88"/>
      <c r="I9" s="88"/>
      <c r="J9" s="88"/>
    </row>
    <row r="10" spans="2:11" x14ac:dyDescent="0.25">
      <c r="B10" s="66"/>
      <c r="C10" s="66"/>
      <c r="D10" s="89">
        <v>3.62</v>
      </c>
      <c r="E10" s="84">
        <v>1.78</v>
      </c>
      <c r="F10" s="41"/>
      <c r="G10" s="88"/>
      <c r="H10" s="88"/>
      <c r="I10" s="88"/>
      <c r="J10" s="88"/>
    </row>
    <row r="11" spans="2:11" x14ac:dyDescent="0.25">
      <c r="B11" s="66"/>
      <c r="C11" s="66" t="s">
        <v>129</v>
      </c>
      <c r="D11" s="84">
        <v>32.97</v>
      </c>
      <c r="E11" s="84">
        <v>33.97</v>
      </c>
      <c r="F11" s="41"/>
      <c r="G11" s="88"/>
      <c r="H11" s="88"/>
      <c r="I11" s="88"/>
      <c r="J11" s="88"/>
      <c r="K11" s="88"/>
    </row>
    <row r="12" spans="2:11" x14ac:dyDescent="0.25">
      <c r="B12" s="66"/>
      <c r="C12" s="66"/>
      <c r="D12" s="84">
        <v>29.91</v>
      </c>
      <c r="E12" s="84">
        <v>32.200000000000003</v>
      </c>
      <c r="F12" s="16"/>
      <c r="G12" s="88"/>
      <c r="H12" s="88"/>
      <c r="I12" s="88"/>
      <c r="J12" s="88"/>
      <c r="K12" s="88"/>
    </row>
    <row r="13" spans="2:11" x14ac:dyDescent="0.25">
      <c r="B13" s="66"/>
      <c r="C13" s="66"/>
      <c r="D13" s="12">
        <v>28.83</v>
      </c>
      <c r="E13" s="12">
        <v>29.19</v>
      </c>
      <c r="G13" s="88"/>
      <c r="H13" s="88"/>
      <c r="I13" s="88"/>
      <c r="J13" s="88"/>
      <c r="K13" s="88"/>
    </row>
    <row r="14" spans="2:11" x14ac:dyDescent="0.25">
      <c r="B14" s="66"/>
      <c r="C14" s="66"/>
      <c r="D14" s="12">
        <v>25.4</v>
      </c>
      <c r="E14" s="12">
        <v>26.16</v>
      </c>
      <c r="G14" s="88"/>
      <c r="H14" s="88"/>
      <c r="I14" s="88"/>
      <c r="J14" s="88"/>
      <c r="K14" s="88"/>
    </row>
    <row r="15" spans="2:11" x14ac:dyDescent="0.25">
      <c r="B15" s="66"/>
      <c r="C15" s="66"/>
      <c r="D15" s="84">
        <v>21.05</v>
      </c>
      <c r="E15" s="84">
        <v>8.25</v>
      </c>
      <c r="G15" s="88"/>
      <c r="H15" s="88"/>
      <c r="I15" s="88"/>
      <c r="J15" s="88"/>
      <c r="K15" s="88"/>
    </row>
    <row r="16" spans="2:11" x14ac:dyDescent="0.25">
      <c r="B16" s="66"/>
      <c r="C16" s="66"/>
      <c r="D16" s="84">
        <v>7.4</v>
      </c>
      <c r="E16" s="84">
        <v>1.19</v>
      </c>
      <c r="G16" s="88"/>
      <c r="H16" s="88"/>
      <c r="I16" s="88"/>
      <c r="J16" s="88"/>
      <c r="K16" s="88"/>
    </row>
    <row r="17" spans="2:11" x14ac:dyDescent="0.25">
      <c r="B17" s="66"/>
      <c r="C17" s="66"/>
      <c r="D17" s="84">
        <v>4.71</v>
      </c>
      <c r="E17" s="84">
        <v>1.07</v>
      </c>
      <c r="G17" s="88"/>
      <c r="H17" s="88"/>
      <c r="I17" s="88"/>
      <c r="J17" s="88"/>
      <c r="K17" s="88"/>
    </row>
    <row r="18" spans="2:11" x14ac:dyDescent="0.25">
      <c r="B18" s="66"/>
      <c r="C18" s="66"/>
      <c r="D18" s="84">
        <v>0.24</v>
      </c>
      <c r="E18" s="84">
        <v>0.25</v>
      </c>
      <c r="G18" s="88"/>
      <c r="H18" s="88"/>
      <c r="I18" s="88"/>
      <c r="J18" s="88"/>
      <c r="K18" s="88"/>
    </row>
    <row r="19" spans="2:11" x14ac:dyDescent="0.25">
      <c r="G19" s="88"/>
      <c r="H19" s="88"/>
      <c r="I19" s="88"/>
      <c r="J19" s="88"/>
      <c r="K19" s="88"/>
    </row>
    <row r="20" spans="2:11" x14ac:dyDescent="0.25">
      <c r="G20" s="16"/>
      <c r="H20" s="88"/>
      <c r="I20" s="88"/>
      <c r="J20" s="88"/>
      <c r="K20" s="88"/>
    </row>
    <row r="21" spans="2:11" x14ac:dyDescent="0.25">
      <c r="D21">
        <f>MEDIAN(D3:D10)</f>
        <v>29.38</v>
      </c>
      <c r="E21">
        <f>MEDIAN(E3:E10)</f>
        <v>25.53</v>
      </c>
      <c r="H21" s="88"/>
      <c r="I21" s="88"/>
      <c r="J21" s="88"/>
      <c r="K21" s="88"/>
    </row>
    <row r="22" spans="2:11" x14ac:dyDescent="0.25">
      <c r="D22">
        <f>MEDIAN(D11:D18)</f>
        <v>23.225000000000001</v>
      </c>
      <c r="E22">
        <f>MEDIAN(E11:E18)</f>
        <v>17.204999999999998</v>
      </c>
      <c r="H22" s="88"/>
      <c r="I22" s="88"/>
      <c r="J22" s="88"/>
      <c r="K22" s="88"/>
    </row>
    <row r="27" spans="2:11" x14ac:dyDescent="0.25">
      <c r="C27" s="30"/>
    </row>
    <row r="32" spans="2:11" x14ac:dyDescent="0.25">
      <c r="B32" s="82"/>
      <c r="D32" s="88"/>
      <c r="E32" s="41"/>
      <c r="F32" s="16"/>
      <c r="G32" s="16"/>
    </row>
    <row r="33" spans="2:2" x14ac:dyDescent="0.25">
      <c r="B33" s="82"/>
    </row>
    <row r="34" spans="2:2" x14ac:dyDescent="0.25">
      <c r="B34" s="82"/>
    </row>
  </sheetData>
  <sortState xmlns:xlrd2="http://schemas.microsoft.com/office/spreadsheetml/2017/richdata2" ref="E12:E18">
    <sortCondition descending="1" ref="E11:E18"/>
  </sortState>
  <mergeCells count="8">
    <mergeCell ref="G4:G7"/>
    <mergeCell ref="H4:H5"/>
    <mergeCell ref="H6:H7"/>
    <mergeCell ref="D1:E1"/>
    <mergeCell ref="B3:B18"/>
    <mergeCell ref="I2:J2"/>
    <mergeCell ref="C3:C10"/>
    <mergeCell ref="C11:C1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BE5B-8376-49D4-AEE5-CCF7B9DA73FE}">
  <dimension ref="A1:G30"/>
  <sheetViews>
    <sheetView workbookViewId="0">
      <selection activeCell="E32" sqref="E32"/>
    </sheetView>
  </sheetViews>
  <sheetFormatPr defaultRowHeight="13.2" x14ac:dyDescent="0.25"/>
  <cols>
    <col min="1" max="1" width="28.21875" bestFit="1" customWidth="1"/>
    <col min="2" max="2" width="11" bestFit="1" customWidth="1"/>
    <col min="3" max="3" width="9" bestFit="1" customWidth="1"/>
    <col min="4" max="4" width="11" bestFit="1" customWidth="1"/>
    <col min="5" max="7" width="12" bestFit="1" customWidth="1"/>
  </cols>
  <sheetData>
    <row r="1" spans="1:4" x14ac:dyDescent="0.25">
      <c r="A1" t="s">
        <v>70</v>
      </c>
    </row>
    <row r="3" spans="1:4" x14ac:dyDescent="0.25">
      <c r="A3" t="s">
        <v>71</v>
      </c>
      <c r="B3" s="30" t="s">
        <v>67</v>
      </c>
      <c r="C3" s="30" t="s">
        <v>66</v>
      </c>
      <c r="D3" t="s">
        <v>72</v>
      </c>
    </row>
    <row r="4" spans="1:4" ht="13.8" thickBot="1" x14ac:dyDescent="0.3">
      <c r="A4" s="23" t="s">
        <v>69</v>
      </c>
      <c r="B4" s="23"/>
      <c r="C4" s="23"/>
      <c r="D4" s="23"/>
    </row>
    <row r="5" spans="1:4" x14ac:dyDescent="0.25">
      <c r="A5" s="22" t="s">
        <v>73</v>
      </c>
      <c r="B5" s="22">
        <v>2</v>
      </c>
      <c r="C5" s="22">
        <v>2</v>
      </c>
      <c r="D5" s="22">
        <v>4</v>
      </c>
    </row>
    <row r="6" spans="1:4" x14ac:dyDescent="0.25">
      <c r="A6" s="22" t="s">
        <v>74</v>
      </c>
      <c r="B6" s="22">
        <v>66.539999999999992</v>
      </c>
      <c r="C6" s="22">
        <v>58.71</v>
      </c>
      <c r="D6" s="22">
        <v>125.25000000000001</v>
      </c>
    </row>
    <row r="7" spans="1:4" x14ac:dyDescent="0.25">
      <c r="A7" s="22" t="s">
        <v>75</v>
      </c>
      <c r="B7" s="22">
        <v>33.269999999999996</v>
      </c>
      <c r="C7" s="22">
        <v>29.355</v>
      </c>
      <c r="D7" s="22">
        <v>31.312500000000004</v>
      </c>
    </row>
    <row r="8" spans="1:4" x14ac:dyDescent="0.25">
      <c r="A8" s="22" t="s">
        <v>76</v>
      </c>
      <c r="B8" s="22">
        <v>4.5000000000001275E-2</v>
      </c>
      <c r="C8" s="22">
        <v>7.9600500000000078</v>
      </c>
      <c r="D8" s="22">
        <v>7.7774250000000009</v>
      </c>
    </row>
    <row r="9" spans="1:4" x14ac:dyDescent="0.25">
      <c r="A9" s="22"/>
      <c r="B9" s="22"/>
      <c r="C9" s="22"/>
      <c r="D9" s="22"/>
    </row>
    <row r="10" spans="1:4" ht="13.8" thickBot="1" x14ac:dyDescent="0.3">
      <c r="A10" s="23" t="s">
        <v>131</v>
      </c>
      <c r="B10" s="23"/>
      <c r="C10" s="23"/>
      <c r="D10" s="23"/>
    </row>
    <row r="11" spans="1:4" x14ac:dyDescent="0.25">
      <c r="A11" s="22" t="s">
        <v>73</v>
      </c>
      <c r="B11" s="22">
        <v>2</v>
      </c>
      <c r="C11" s="22">
        <v>2</v>
      </c>
      <c r="D11" s="22">
        <v>4</v>
      </c>
    </row>
    <row r="12" spans="1:4" x14ac:dyDescent="0.25">
      <c r="A12" s="22" t="s">
        <v>74</v>
      </c>
      <c r="B12" s="22">
        <v>54.23</v>
      </c>
      <c r="C12" s="22">
        <v>55.35</v>
      </c>
      <c r="D12" s="22">
        <v>109.57999999999998</v>
      </c>
    </row>
    <row r="13" spans="1:4" x14ac:dyDescent="0.25">
      <c r="A13" s="22" t="s">
        <v>75</v>
      </c>
      <c r="B13" s="22">
        <v>27.114999999999998</v>
      </c>
      <c r="C13" s="22">
        <v>27.675000000000001</v>
      </c>
      <c r="D13" s="22">
        <v>27.394999999999996</v>
      </c>
    </row>
    <row r="14" spans="1:4" x14ac:dyDescent="0.25">
      <c r="A14" s="22" t="s">
        <v>76</v>
      </c>
      <c r="B14" s="22">
        <v>5.8824499999999986</v>
      </c>
      <c r="C14" s="22">
        <v>4.5904500000000033</v>
      </c>
      <c r="D14" s="22">
        <v>3.5955000000000017</v>
      </c>
    </row>
    <row r="15" spans="1:4" x14ac:dyDescent="0.25">
      <c r="A15" s="22"/>
      <c r="B15" s="22"/>
      <c r="C15" s="22"/>
      <c r="D15" s="22"/>
    </row>
    <row r="16" spans="1:4" ht="13.8" thickBot="1" x14ac:dyDescent="0.3">
      <c r="A16" s="23" t="s">
        <v>72</v>
      </c>
      <c r="B16" s="23"/>
      <c r="C16" s="23"/>
      <c r="D16" s="23"/>
    </row>
    <row r="17" spans="1:7" x14ac:dyDescent="0.25">
      <c r="A17" s="22" t="s">
        <v>73</v>
      </c>
      <c r="B17" s="22">
        <v>4</v>
      </c>
      <c r="C17" s="22">
        <v>4</v>
      </c>
      <c r="D17" s="22"/>
    </row>
    <row r="18" spans="1:7" x14ac:dyDescent="0.25">
      <c r="A18" s="22" t="s">
        <v>74</v>
      </c>
      <c r="B18" s="22">
        <v>120.76999999999998</v>
      </c>
      <c r="C18" s="22">
        <v>114.06</v>
      </c>
      <c r="D18" s="22"/>
    </row>
    <row r="19" spans="1:7" x14ac:dyDescent="0.25">
      <c r="A19" s="22" t="s">
        <v>75</v>
      </c>
      <c r="B19" s="22">
        <v>30.192499999999995</v>
      </c>
      <c r="C19" s="22">
        <v>28.515000000000001</v>
      </c>
      <c r="D19" s="22"/>
    </row>
    <row r="20" spans="1:7" x14ac:dyDescent="0.25">
      <c r="A20" s="22" t="s">
        <v>76</v>
      </c>
      <c r="B20" s="22">
        <v>14.603825000000143</v>
      </c>
      <c r="C20" s="22">
        <v>5.1243000000000034</v>
      </c>
      <c r="D20" s="22"/>
    </row>
    <row r="21" spans="1:7" x14ac:dyDescent="0.25">
      <c r="A21" s="22"/>
      <c r="B21" s="22"/>
      <c r="C21" s="22"/>
      <c r="D21" s="22"/>
    </row>
    <row r="23" spans="1:7" ht="13.8" thickBot="1" x14ac:dyDescent="0.3">
      <c r="A23" t="s">
        <v>77</v>
      </c>
    </row>
    <row r="24" spans="1:7" x14ac:dyDescent="0.25">
      <c r="A24" s="25" t="s">
        <v>78</v>
      </c>
      <c r="B24" s="25" t="s">
        <v>79</v>
      </c>
      <c r="C24" s="25" t="s">
        <v>80</v>
      </c>
      <c r="D24" s="25" t="s">
        <v>81</v>
      </c>
      <c r="E24" s="25" t="s">
        <v>82</v>
      </c>
      <c r="F24" s="25" t="s">
        <v>83</v>
      </c>
      <c r="G24" s="25" t="s">
        <v>84</v>
      </c>
    </row>
    <row r="25" spans="1:7" x14ac:dyDescent="0.25">
      <c r="A25" s="29" t="s">
        <v>69</v>
      </c>
      <c r="B25" s="22">
        <v>30.693612500000008</v>
      </c>
      <c r="C25" s="22">
        <v>1</v>
      </c>
      <c r="D25" s="22">
        <v>30.693612500000008</v>
      </c>
      <c r="E25" s="22">
        <v>6.6443761347985006</v>
      </c>
      <c r="F25" s="22">
        <v>6.1478572818236134E-2</v>
      </c>
      <c r="G25" s="22">
        <v>7.708647422176786</v>
      </c>
    </row>
    <row r="26" spans="1:7" x14ac:dyDescent="0.25">
      <c r="A26" s="29" t="s">
        <v>131</v>
      </c>
      <c r="B26" s="22">
        <v>5.6280124999999899</v>
      </c>
      <c r="C26" s="22">
        <v>1</v>
      </c>
      <c r="D26" s="22">
        <v>5.6280124999999899</v>
      </c>
      <c r="E26" s="22">
        <v>1.2183196729074355</v>
      </c>
      <c r="F26" s="22">
        <v>0.33162419608342059</v>
      </c>
      <c r="G26" s="22">
        <v>7.708647422176786</v>
      </c>
    </row>
    <row r="27" spans="1:7" x14ac:dyDescent="0.25">
      <c r="A27" s="22" t="s">
        <v>85</v>
      </c>
      <c r="B27" s="22">
        <v>10.012812500000006</v>
      </c>
      <c r="C27" s="22">
        <v>1</v>
      </c>
      <c r="D27" s="22">
        <v>10.012812500000006</v>
      </c>
      <c r="E27" s="22">
        <v>2.1675158770318137</v>
      </c>
      <c r="F27" s="22">
        <v>0.21493481766257128</v>
      </c>
      <c r="G27" s="22">
        <v>7.708647422176786</v>
      </c>
    </row>
    <row r="28" spans="1:7" x14ac:dyDescent="0.25">
      <c r="A28" s="22" t="s">
        <v>86</v>
      </c>
      <c r="B28" s="22">
        <v>18.477950000000011</v>
      </c>
      <c r="C28" s="22">
        <v>4</v>
      </c>
      <c r="D28" s="22">
        <v>4.6194875000000026</v>
      </c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ht="13.8" thickBot="1" x14ac:dyDescent="0.3">
      <c r="A30" s="24" t="s">
        <v>72</v>
      </c>
      <c r="B30" s="24">
        <v>64.812387500000014</v>
      </c>
      <c r="C30" s="24">
        <v>7</v>
      </c>
      <c r="D30" s="24"/>
      <c r="E30" s="24"/>
      <c r="F30" s="24"/>
      <c r="G30" s="24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B89E-3C16-4DD0-AF8B-3955D909F304}">
  <dimension ref="A1"/>
  <sheetViews>
    <sheetView workbookViewId="0">
      <selection activeCell="N16" sqref="N16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6"/>
  <sheetViews>
    <sheetView workbookViewId="0">
      <selection activeCell="E27" sqref="E27"/>
    </sheetView>
  </sheetViews>
  <sheetFormatPr defaultColWidth="12.6640625" defaultRowHeight="15.75" customHeight="1" x14ac:dyDescent="0.25"/>
  <cols>
    <col min="6" max="6" width="17" bestFit="1" customWidth="1"/>
  </cols>
  <sheetData>
    <row r="1" spans="1:6" ht="15.75" customHeight="1" x14ac:dyDescent="0.25">
      <c r="A1" s="60" t="s">
        <v>44</v>
      </c>
      <c r="B1" s="61"/>
      <c r="C1" s="52"/>
      <c r="E1" s="59" t="s">
        <v>45</v>
      </c>
      <c r="F1" s="72"/>
    </row>
    <row r="2" spans="1:6" ht="15.75" customHeight="1" x14ac:dyDescent="0.25">
      <c r="A2" s="4" t="s">
        <v>11</v>
      </c>
      <c r="B2" s="59" t="s">
        <v>46</v>
      </c>
      <c r="C2" s="52"/>
      <c r="E2" s="4" t="s">
        <v>47</v>
      </c>
      <c r="F2" s="4" t="s">
        <v>48</v>
      </c>
    </row>
    <row r="3" spans="1:6" ht="15.75" customHeight="1" x14ac:dyDescent="0.25">
      <c r="A3" s="4" t="s">
        <v>7</v>
      </c>
      <c r="B3" s="53" t="s">
        <v>49</v>
      </c>
      <c r="C3" s="54"/>
      <c r="E3" s="4" t="s">
        <v>49</v>
      </c>
      <c r="F3" s="4" t="s">
        <v>50</v>
      </c>
    </row>
    <row r="4" spans="1:6" ht="15.75" customHeight="1" x14ac:dyDescent="0.25">
      <c r="A4" s="4" t="s">
        <v>14</v>
      </c>
      <c r="B4" s="55"/>
      <c r="C4" s="56"/>
      <c r="E4" s="4" t="s">
        <v>51</v>
      </c>
      <c r="F4" s="4" t="s">
        <v>52</v>
      </c>
    </row>
    <row r="5" spans="1:6" ht="15.75" customHeight="1" x14ac:dyDescent="0.25">
      <c r="A5" s="4" t="s">
        <v>8</v>
      </c>
      <c r="B5" s="55"/>
      <c r="C5" s="56"/>
      <c r="E5" s="4" t="s">
        <v>53</v>
      </c>
      <c r="F5" s="4" t="s">
        <v>54</v>
      </c>
    </row>
    <row r="6" spans="1:6" ht="15.75" customHeight="1" x14ac:dyDescent="0.25">
      <c r="A6" s="4" t="s">
        <v>12</v>
      </c>
      <c r="B6" s="55"/>
      <c r="C6" s="56"/>
    </row>
    <row r="7" spans="1:6" ht="15.75" customHeight="1" x14ac:dyDescent="0.25">
      <c r="A7" s="4" t="s">
        <v>9</v>
      </c>
      <c r="B7" s="55"/>
      <c r="C7" s="56"/>
    </row>
    <row r="8" spans="1:6" ht="15.75" customHeight="1" x14ac:dyDescent="0.25">
      <c r="A8" s="4" t="s">
        <v>10</v>
      </c>
      <c r="B8" s="57"/>
      <c r="C8" s="58"/>
    </row>
    <row r="9" spans="1:6" ht="15.75" customHeight="1" x14ac:dyDescent="0.25">
      <c r="A9" s="4" t="s">
        <v>13</v>
      </c>
      <c r="B9" s="59" t="s">
        <v>55</v>
      </c>
      <c r="C9" s="52"/>
    </row>
    <row r="10" spans="1:6" ht="15.75" customHeight="1" x14ac:dyDescent="0.25">
      <c r="A10" s="6"/>
    </row>
    <row r="11" spans="1:6" ht="15.75" customHeight="1" x14ac:dyDescent="0.25">
      <c r="A11" s="4" t="s">
        <v>21</v>
      </c>
      <c r="B11" s="59" t="s">
        <v>55</v>
      </c>
      <c r="C11" s="52"/>
    </row>
    <row r="12" spans="1:6" ht="15.75" customHeight="1" x14ac:dyDescent="0.25">
      <c r="A12" s="4" t="s">
        <v>16</v>
      </c>
      <c r="B12" s="59" t="s">
        <v>49</v>
      </c>
      <c r="C12" s="52"/>
    </row>
    <row r="13" spans="1:6" ht="15.75" customHeight="1" x14ac:dyDescent="0.25">
      <c r="A13" s="4" t="s">
        <v>17</v>
      </c>
      <c r="B13" s="59" t="s">
        <v>47</v>
      </c>
      <c r="C13" s="52"/>
    </row>
    <row r="14" spans="1:6" ht="15.75" customHeight="1" x14ac:dyDescent="0.25">
      <c r="A14" s="4" t="s">
        <v>20</v>
      </c>
      <c r="B14" s="59" t="s">
        <v>49</v>
      </c>
      <c r="C14" s="52"/>
    </row>
    <row r="15" spans="1:6" ht="15.75" customHeight="1" x14ac:dyDescent="0.25">
      <c r="A15" s="4" t="s">
        <v>18</v>
      </c>
      <c r="B15" s="59" t="s">
        <v>49</v>
      </c>
      <c r="C15" s="52"/>
    </row>
    <row r="16" spans="1:6" ht="15.75" customHeight="1" x14ac:dyDescent="0.25">
      <c r="A16" s="4" t="s">
        <v>23</v>
      </c>
      <c r="B16" s="59" t="s">
        <v>56</v>
      </c>
      <c r="C16" s="52"/>
    </row>
    <row r="17" spans="1:3" ht="15.75" customHeight="1" x14ac:dyDescent="0.25">
      <c r="A17" s="4" t="s">
        <v>22</v>
      </c>
      <c r="B17" s="59" t="s">
        <v>47</v>
      </c>
      <c r="C17" s="52"/>
    </row>
    <row r="18" spans="1:3" ht="15.75" customHeight="1" x14ac:dyDescent="0.25">
      <c r="A18" s="4" t="s">
        <v>19</v>
      </c>
      <c r="B18" s="59" t="s">
        <v>49</v>
      </c>
      <c r="C18" s="52"/>
    </row>
    <row r="19" spans="1:3" ht="15.75" customHeight="1" x14ac:dyDescent="0.25">
      <c r="A19" s="6"/>
    </row>
    <row r="20" spans="1:3" ht="15.75" customHeight="1" x14ac:dyDescent="0.25">
      <c r="A20" s="4" t="s">
        <v>31</v>
      </c>
      <c r="B20" s="51" t="s">
        <v>57</v>
      </c>
      <c r="C20" s="52"/>
    </row>
    <row r="21" spans="1:3" ht="15.75" customHeight="1" x14ac:dyDescent="0.25">
      <c r="A21" s="4" t="s">
        <v>25</v>
      </c>
      <c r="B21" s="51" t="s">
        <v>58</v>
      </c>
      <c r="C21" s="52"/>
    </row>
    <row r="22" spans="1:3" ht="15.75" customHeight="1" x14ac:dyDescent="0.25">
      <c r="A22" s="4" t="s">
        <v>28</v>
      </c>
      <c r="B22" s="53" t="s">
        <v>49</v>
      </c>
      <c r="C22" s="54"/>
    </row>
    <row r="23" spans="1:3" ht="15.75" customHeight="1" x14ac:dyDescent="0.25">
      <c r="A23" s="4" t="s">
        <v>27</v>
      </c>
      <c r="B23" s="55"/>
      <c r="C23" s="56"/>
    </row>
    <row r="24" spans="1:3" ht="15.75" customHeight="1" x14ac:dyDescent="0.25">
      <c r="A24" s="4" t="s">
        <v>24</v>
      </c>
      <c r="B24" s="55"/>
      <c r="C24" s="56"/>
    </row>
    <row r="25" spans="1:3" ht="15.75" customHeight="1" x14ac:dyDescent="0.25">
      <c r="A25" s="4" t="s">
        <v>30</v>
      </c>
      <c r="B25" s="57"/>
      <c r="C25" s="58"/>
    </row>
    <row r="26" spans="1:3" ht="15.75" customHeight="1" x14ac:dyDescent="0.25">
      <c r="A26" s="4" t="s">
        <v>29</v>
      </c>
      <c r="B26" s="51" t="s">
        <v>47</v>
      </c>
      <c r="C26" s="52"/>
    </row>
    <row r="27" spans="1:3" ht="15.75" customHeight="1" x14ac:dyDescent="0.25">
      <c r="A27" s="4" t="s">
        <v>26</v>
      </c>
      <c r="B27" s="51" t="s">
        <v>49</v>
      </c>
      <c r="C27" s="52"/>
    </row>
    <row r="28" spans="1:3" ht="15.75" customHeight="1" x14ac:dyDescent="0.25">
      <c r="A28" s="6"/>
    </row>
    <row r="29" spans="1:3" ht="15.75" customHeight="1" x14ac:dyDescent="0.25">
      <c r="A29" s="4" t="s">
        <v>59</v>
      </c>
      <c r="B29" s="51" t="s">
        <v>53</v>
      </c>
      <c r="C29" s="52"/>
    </row>
    <row r="30" spans="1:3" ht="15.75" customHeight="1" x14ac:dyDescent="0.25">
      <c r="A30" s="4" t="s">
        <v>38</v>
      </c>
      <c r="B30" s="51" t="s">
        <v>60</v>
      </c>
      <c r="C30" s="52"/>
    </row>
    <row r="31" spans="1:3" ht="15.75" customHeight="1" x14ac:dyDescent="0.25">
      <c r="A31" s="4" t="s">
        <v>33</v>
      </c>
      <c r="B31" s="53" t="s">
        <v>49</v>
      </c>
      <c r="C31" s="54"/>
    </row>
    <row r="32" spans="1:3" ht="15.75" customHeight="1" x14ac:dyDescent="0.25">
      <c r="A32" s="4" t="s">
        <v>37</v>
      </c>
      <c r="B32" s="55"/>
      <c r="C32" s="56"/>
    </row>
    <row r="33" spans="1:3" ht="15.75" customHeight="1" x14ac:dyDescent="0.25">
      <c r="A33" s="4" t="s">
        <v>34</v>
      </c>
      <c r="B33" s="55"/>
      <c r="C33" s="56"/>
    </row>
    <row r="34" spans="1:3" ht="13.2" x14ac:dyDescent="0.25">
      <c r="A34" s="4" t="s">
        <v>32</v>
      </c>
      <c r="B34" s="57"/>
      <c r="C34" s="58"/>
    </row>
    <row r="35" spans="1:3" ht="13.2" x14ac:dyDescent="0.25">
      <c r="A35" s="4" t="s">
        <v>35</v>
      </c>
      <c r="B35" s="51" t="s">
        <v>55</v>
      </c>
      <c r="C35" s="52"/>
    </row>
    <row r="36" spans="1:3" ht="13.2" x14ac:dyDescent="0.25">
      <c r="A36" s="4" t="s">
        <v>36</v>
      </c>
      <c r="B36" s="51" t="s">
        <v>47</v>
      </c>
      <c r="C36" s="52"/>
    </row>
  </sheetData>
  <mergeCells count="23">
    <mergeCell ref="A1:C1"/>
    <mergeCell ref="E1:F1"/>
    <mergeCell ref="B2:C2"/>
    <mergeCell ref="B3:C8"/>
    <mergeCell ref="B9:C9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35:C35"/>
    <mergeCell ref="B36:C36"/>
    <mergeCell ref="B21:C21"/>
    <mergeCell ref="B22:C25"/>
    <mergeCell ref="B26:C26"/>
    <mergeCell ref="B27:C27"/>
    <mergeCell ref="B29:C29"/>
    <mergeCell ref="B30:C30"/>
    <mergeCell ref="B31:C3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I6:J6"/>
  <sheetViews>
    <sheetView workbookViewId="0">
      <selection activeCell="J12" sqref="J12"/>
    </sheetView>
  </sheetViews>
  <sheetFormatPr defaultColWidth="12.6640625" defaultRowHeight="15.75" customHeight="1" x14ac:dyDescent="0.25"/>
  <sheetData>
    <row r="6" spans="9:10" ht="15.75" customHeight="1" x14ac:dyDescent="0.25">
      <c r="I6" s="59" t="s">
        <v>61</v>
      </c>
      <c r="J6" s="52"/>
    </row>
  </sheetData>
  <mergeCells count="1">
    <mergeCell ref="I6:J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principal</vt:lpstr>
      <vt:lpstr>Graficos profundidade e bifator</vt:lpstr>
      <vt:lpstr>Altura para fazer anova</vt:lpstr>
      <vt:lpstr>Altura Anova de duplo fator</vt:lpstr>
      <vt:lpstr>Altura tukey</vt:lpstr>
      <vt:lpstr>materia seca e verde</vt:lpstr>
      <vt:lpstr>MV para anova</vt:lpstr>
      <vt:lpstr>MV anova</vt:lpstr>
      <vt:lpstr>MV tukey</vt:lpstr>
      <vt:lpstr>MS para anova</vt:lpstr>
      <vt:lpstr>MS anova</vt:lpstr>
      <vt:lpstr>MS tukey</vt:lpstr>
      <vt:lpstr>MS-MV para anova</vt:lpstr>
      <vt:lpstr>anova ms-mv</vt:lpstr>
      <vt:lpstr>MS-mV Tukey</vt:lpstr>
      <vt:lpstr>Observacao sobre os chuchus </vt:lpstr>
      <vt:lpstr>Croqui do experimento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2022-07-28T03:41:45Z</dcterms:created>
  <dcterms:modified xsi:type="dcterms:W3CDTF">2022-07-30T23:53:56Z</dcterms:modified>
</cp:coreProperties>
</file>