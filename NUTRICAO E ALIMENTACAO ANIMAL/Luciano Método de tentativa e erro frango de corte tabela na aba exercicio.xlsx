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92889745-488D-45DB-AAF8-2D4840566B24}" xr6:coauthVersionLast="47" xr6:coauthVersionMax="47" xr10:uidLastSave="{00000000-0000-0000-0000-000000000000}"/>
  <bookViews>
    <workbookView xWindow="-108" yWindow="492" windowWidth="23256" windowHeight="12576" tabRatio="691" activeTab="2" xr2:uid="{00000000-000D-0000-FFFF-FFFF00000000}"/>
  </bookViews>
  <sheets>
    <sheet name="Exercicio" sheetId="12" r:id="rId1"/>
    <sheet name="MATRIZ" sheetId="1" r:id="rId2"/>
    <sheet name="RAÇÕES" sheetId="10" r:id="rId3"/>
    <sheet name="PRECO DOS ADICIONADOS" sheetId="11" r:id="rId4"/>
  </sheets>
  <definedNames>
    <definedName name="Ca">MATRIZ!$F$6:$F$36</definedName>
    <definedName name="EM">MATRIZ!$E$6:$E$36</definedName>
    <definedName name="fb" localSheetId="1">MATRIZ!$N$6:$N$36</definedName>
    <definedName name="Fb">MATRIZ!$N$6:$N$36</definedName>
    <definedName name="Ing_equinos">RAÇÕES!$V$5:$V$35</definedName>
    <definedName name="Ing_F">RAÇÕES!$J$5:$J$35</definedName>
    <definedName name="Ingr4">RAÇÕES!#REF!</definedName>
    <definedName name="Ingr5">RAÇÕES!#REF!</definedName>
    <definedName name="Ingred1">RAÇÕES!$B$5:$B$35</definedName>
    <definedName name="Ingred2">RAÇÕES!$J$5:$J$35</definedName>
    <definedName name="Ingred3">RAÇÕES!#REF!</definedName>
    <definedName name="IngrI1">#REF!</definedName>
    <definedName name="IngrI2">#REF!</definedName>
    <definedName name="IngrI3">#REF!</definedName>
    <definedName name="IngrI4">#REF!</definedName>
    <definedName name="IngrII1">#REF!</definedName>
    <definedName name="IngrII2">#REF!</definedName>
    <definedName name="IngrII3">#REF!</definedName>
    <definedName name="IngrII4">#REF!</definedName>
    <definedName name="Lact">MATRIZ!#REF!</definedName>
    <definedName name="Lis">MATRIZ!$J$6:$J$36</definedName>
    <definedName name="Met">MATRIZ!$K$6:$K$36</definedName>
    <definedName name="Na">MATRIZ!$O$6:$O$36</definedName>
    <definedName name="P">MATRIZ!$G$6:$G$36</definedName>
    <definedName name="PB">MATRIZ!$D$6:$D$36</definedName>
    <definedName name="Treo">MATRIZ!$L$6:$L$36</definedName>
    <definedName name="Trip">MATRIZ!$M$6:$M$36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25" i="10" l="1"/>
  <c r="AE24" i="10"/>
  <c r="AE23" i="10"/>
  <c r="S23" i="10"/>
  <c r="S24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6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AC22" i="10"/>
  <c r="AC21" i="10"/>
  <c r="AC20" i="10"/>
  <c r="AC19" i="10"/>
  <c r="AC18" i="10"/>
  <c r="AC17" i="10"/>
  <c r="AC16" i="10"/>
  <c r="AC15" i="10"/>
  <c r="AC14" i="10"/>
  <c r="AC13" i="10"/>
  <c r="AC12" i="10"/>
  <c r="AC11" i="10"/>
  <c r="AC10" i="10"/>
  <c r="AC9" i="10"/>
  <c r="AC8" i="10"/>
  <c r="AC7" i="10"/>
  <c r="AC6" i="10"/>
  <c r="Q22" i="10"/>
  <c r="Q21" i="10"/>
  <c r="Q20" i="10"/>
  <c r="Q19" i="10"/>
  <c r="Q18" i="10"/>
  <c r="Q17" i="10"/>
  <c r="Q16" i="10"/>
  <c r="Q15" i="10"/>
  <c r="Q14" i="10"/>
  <c r="Q13" i="10"/>
  <c r="Q12" i="10"/>
  <c r="Q11" i="10"/>
  <c r="Q10" i="10"/>
  <c r="Q9" i="10"/>
  <c r="Q8" i="10"/>
  <c r="Q6" i="10"/>
  <c r="Q7" i="10"/>
  <c r="N5" i="10"/>
  <c r="O5" i="10" s="1"/>
  <c r="Z5" i="10"/>
  <c r="AE26" i="10" l="1"/>
  <c r="S25" i="10"/>
  <c r="N14" i="10"/>
  <c r="O14" i="10" s="1"/>
  <c r="N13" i="10"/>
  <c r="N12" i="10"/>
  <c r="O12" i="10" s="1"/>
  <c r="N11" i="10"/>
  <c r="N10" i="10"/>
  <c r="N9" i="10"/>
  <c r="O9" i="10" s="1"/>
  <c r="N8" i="10"/>
  <c r="N7" i="10"/>
  <c r="N6" i="10"/>
  <c r="Z14" i="10"/>
  <c r="AA14" i="10" s="1"/>
  <c r="Z13" i="10"/>
  <c r="AA13" i="10" s="1"/>
  <c r="Z12" i="10"/>
  <c r="AA12" i="10" s="1"/>
  <c r="Z11" i="10"/>
  <c r="AA11" i="10" s="1"/>
  <c r="Z10" i="10"/>
  <c r="AA10" i="10" s="1"/>
  <c r="Z9" i="10"/>
  <c r="AA9" i="10" s="1"/>
  <c r="Z8" i="10"/>
  <c r="AA8" i="10" s="1"/>
  <c r="Z7" i="10"/>
  <c r="AA7" i="10" s="1"/>
  <c r="Z6" i="10"/>
  <c r="AA6" i="10" s="1"/>
  <c r="AA5" i="10"/>
  <c r="A35" i="10"/>
  <c r="A25" i="10"/>
  <c r="A26" i="10"/>
  <c r="A27" i="10"/>
  <c r="A28" i="10"/>
  <c r="A29" i="10"/>
  <c r="A30" i="10"/>
  <c r="A31" i="10"/>
  <c r="A32" i="10"/>
  <c r="A33" i="10"/>
  <c r="A34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5" i="10"/>
  <c r="V36" i="10"/>
  <c r="Y16" i="10" s="1"/>
  <c r="Y18" i="10" s="1"/>
  <c r="F14" i="10"/>
  <c r="G14" i="10" s="1"/>
  <c r="F13" i="10" l="1"/>
  <c r="G13" i="10" s="1"/>
  <c r="F12" i="10"/>
  <c r="F5" i="10"/>
  <c r="G5" i="10" s="1"/>
  <c r="F11" i="10" l="1"/>
  <c r="F9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5" i="10"/>
  <c r="A5" i="10"/>
  <c r="F6" i="10"/>
  <c r="F7" i="10"/>
  <c r="F8" i="10"/>
  <c r="F10" i="10"/>
  <c r="G7" i="10" l="1"/>
  <c r="G10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O11" i="10"/>
  <c r="O10" i="10"/>
  <c r="O8" i="10"/>
  <c r="O7" i="10"/>
  <c r="O6" i="10"/>
  <c r="G12" i="10"/>
  <c r="G11" i="10"/>
  <c r="G9" i="10"/>
  <c r="G8" i="10"/>
  <c r="G6" i="10"/>
  <c r="J36" i="10"/>
  <c r="M16" i="10" s="1"/>
  <c r="M18" i="10" s="1"/>
  <c r="B36" i="10"/>
  <c r="E16" i="10" l="1"/>
  <c r="E18" i="10" s="1"/>
</calcChain>
</file>

<file path=xl/sharedStrings.xml><?xml version="1.0" encoding="utf-8"?>
<sst xmlns="http://schemas.openxmlformats.org/spreadsheetml/2006/main" count="142" uniqueCount="69">
  <si>
    <t>INGREDIENTES</t>
  </si>
  <si>
    <t xml:space="preserve">Proteína </t>
  </si>
  <si>
    <t>EM</t>
  </si>
  <si>
    <t>Cálcio</t>
  </si>
  <si>
    <t>Fósforo</t>
  </si>
  <si>
    <t xml:space="preserve">Lisina </t>
  </si>
  <si>
    <t>Metionina</t>
  </si>
  <si>
    <t xml:space="preserve">Treonina </t>
  </si>
  <si>
    <t>Triptofano</t>
  </si>
  <si>
    <t>Bruta</t>
  </si>
  <si>
    <t>%</t>
  </si>
  <si>
    <t>total</t>
  </si>
  <si>
    <t>kcal/kg</t>
  </si>
  <si>
    <t>Fosfato Bicálcico</t>
  </si>
  <si>
    <t>L-Lisina HCL</t>
  </si>
  <si>
    <t>DL-Metionina</t>
  </si>
  <si>
    <t>L-Treonina</t>
  </si>
  <si>
    <t>L-Triptofano</t>
  </si>
  <si>
    <t>Mistura mineral</t>
  </si>
  <si>
    <t>Mistura vitamínica</t>
  </si>
  <si>
    <t>Ingredientes</t>
  </si>
  <si>
    <t>Nutrientes</t>
  </si>
  <si>
    <t>Exige</t>
  </si>
  <si>
    <t>PB</t>
  </si>
  <si>
    <t>Lisina</t>
  </si>
  <si>
    <t>Treonina</t>
  </si>
  <si>
    <t>Ca</t>
  </si>
  <si>
    <t>Ptot</t>
  </si>
  <si>
    <t>Fornece</t>
  </si>
  <si>
    <t>TOTAL</t>
  </si>
  <si>
    <t>EXIGE</t>
  </si>
  <si>
    <t>FALTA</t>
  </si>
  <si>
    <t>Exc./Def.</t>
  </si>
  <si>
    <t>Soja, Farelo</t>
  </si>
  <si>
    <t>Cloreto de Sódio</t>
  </si>
  <si>
    <t>BHT</t>
  </si>
  <si>
    <t>0,1 ou 0,5%</t>
  </si>
  <si>
    <t>Milho, Grão 7,86%</t>
  </si>
  <si>
    <t>Preços que já temos</t>
  </si>
  <si>
    <t>Oleo de soja</t>
  </si>
  <si>
    <t>Sorgo</t>
  </si>
  <si>
    <t>Farinha de carne e ossos(43%)</t>
  </si>
  <si>
    <t>Frangos</t>
  </si>
  <si>
    <t>Cloro 
(%)</t>
  </si>
  <si>
    <t>Sódio 
(%)</t>
  </si>
  <si>
    <t>Gordura animal (suínos)</t>
  </si>
  <si>
    <t>Calcário calcítico</t>
  </si>
  <si>
    <t>Arroz, quirera</t>
  </si>
  <si>
    <t>Glúten de milho 21%</t>
  </si>
  <si>
    <t>Proteína isolada de soja</t>
  </si>
  <si>
    <t>Inerte (caulim)</t>
  </si>
  <si>
    <t>Inerte (Caulin)</t>
  </si>
  <si>
    <t>Farelo de trigo</t>
  </si>
  <si>
    <t>Fibra bruta</t>
  </si>
  <si>
    <t>Fibra</t>
  </si>
  <si>
    <t>Matriz segundo Rostagno</t>
  </si>
  <si>
    <t>Sódio</t>
  </si>
  <si>
    <t>Frango basal</t>
  </si>
  <si>
    <t>Frango vegetal</t>
  </si>
  <si>
    <t>Frango animal</t>
  </si>
  <si>
    <t>Preco total</t>
  </si>
  <si>
    <t>Total</t>
  </si>
  <si>
    <t xml:space="preserve">30 KG </t>
  </si>
  <si>
    <t>Olhar farelo de trigo na ABA 3</t>
  </si>
  <si>
    <t>Como os frangos são de estagio inicial de 1 a 7 dias optei por utilizar o premix vitaminico/mineral de 0,5% por conta do inicio dos animais</t>
  </si>
  <si>
    <t>1 Kg</t>
  </si>
  <si>
    <t>1 KG</t>
  </si>
  <si>
    <t>Farinha de carne e ossos</t>
  </si>
  <si>
    <t>Olhar farinha de carne e ossos na ABA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</si>
</sst>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;[Red]0.000"/>
    <numFmt numFmtId="165" formatCode="0.0000;[Red]0.0000"/>
    <numFmt numFmtId="166" formatCode="0.0000"/>
    <numFmt numFmtId="167" formatCode="0.000"/>
  </numFmts>
  <fonts count="18" x14ac:knownFonts="1">
    <font>
      <sz val="10"/>
      <name val="Arial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12"/>
      <color theme="0"/>
      <name val="Arial"/>
      <family val="2"/>
    </font>
    <font>
      <sz val="14"/>
      <name val="Arial"/>
      <family val="2"/>
    </font>
    <font>
      <sz val="14"/>
      <color indexed="8"/>
      <name val="Calibri"/>
      <family val="2"/>
      <scheme val="minor"/>
    </font>
    <font>
      <sz val="14"/>
      <color indexed="8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indexed="9"/>
      <name val="Times New Roman"/>
      <family val="1"/>
    </font>
    <font>
      <b/>
      <sz val="12"/>
      <color theme="0" tint="-0.249977111117893"/>
      <name val="Times New Roman"/>
      <family val="1"/>
    </font>
    <font>
      <sz val="12"/>
      <color indexed="12"/>
      <name val="Times New Roman"/>
      <family val="1"/>
    </font>
    <font>
      <b/>
      <sz val="12"/>
      <color indexed="10"/>
      <name val="Times New Roman"/>
      <family val="1"/>
    </font>
    <font>
      <b/>
      <sz val="10"/>
      <name val="Arial"/>
      <family val="2"/>
    </font>
    <font>
      <b/>
      <sz val="14"/>
      <color rgb="FFC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0" borderId="0" xfId="0" applyFont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3" borderId="9" xfId="0" applyFont="1" applyFill="1" applyBorder="1"/>
    <xf numFmtId="0" fontId="2" fillId="3" borderId="10" xfId="0" applyFont="1" applyFill="1" applyBorder="1"/>
    <xf numFmtId="0" fontId="2" fillId="4" borderId="12" xfId="0" applyFont="1" applyFill="1" applyBorder="1"/>
    <xf numFmtId="0" fontId="2" fillId="4" borderId="13" xfId="0" applyFont="1" applyFill="1" applyBorder="1"/>
    <xf numFmtId="0" fontId="2" fillId="4" borderId="14" xfId="0" applyFont="1" applyFill="1" applyBorder="1"/>
    <xf numFmtId="0" fontId="2" fillId="5" borderId="10" xfId="0" applyFont="1" applyFill="1" applyBorder="1" applyAlignment="1">
      <alignment horizontal="left"/>
    </xf>
    <xf numFmtId="166" fontId="2" fillId="5" borderId="15" xfId="0" applyNumberFormat="1" applyFont="1" applyFill="1" applyBorder="1"/>
    <xf numFmtId="0" fontId="2" fillId="5" borderId="16" xfId="0" applyFont="1" applyFill="1" applyBorder="1" applyAlignment="1">
      <alignment horizontal="left"/>
    </xf>
    <xf numFmtId="166" fontId="2" fillId="5" borderId="17" xfId="0" applyNumberFormat="1" applyFont="1" applyFill="1" applyBorder="1"/>
    <xf numFmtId="0" fontId="2" fillId="5" borderId="11" xfId="0" applyFont="1" applyFill="1" applyBorder="1" applyAlignment="1">
      <alignment horizontal="center"/>
    </xf>
    <xf numFmtId="166" fontId="2" fillId="5" borderId="18" xfId="0" applyNumberFormat="1" applyFont="1" applyFill="1" applyBorder="1"/>
    <xf numFmtId="165" fontId="2" fillId="0" borderId="19" xfId="0" applyNumberFormat="1" applyFont="1" applyBorder="1"/>
    <xf numFmtId="165" fontId="2" fillId="0" borderId="20" xfId="0" applyNumberFormat="1" applyFont="1" applyBorder="1"/>
    <xf numFmtId="0" fontId="3" fillId="0" borderId="0" xfId="0" applyFont="1" applyFill="1" applyBorder="1"/>
    <xf numFmtId="0" fontId="4" fillId="0" borderId="19" xfId="0" applyFont="1" applyBorder="1"/>
    <xf numFmtId="2" fontId="4" fillId="0" borderId="20" xfId="0" applyNumberFormat="1" applyFont="1" applyBorder="1"/>
    <xf numFmtId="0" fontId="6" fillId="9" borderId="21" xfId="0" applyFont="1" applyFill="1" applyBorder="1" applyAlignment="1">
      <alignment horizontal="center"/>
    </xf>
    <xf numFmtId="166" fontId="2" fillId="0" borderId="19" xfId="0" applyNumberFormat="1" applyFont="1" applyBorder="1" applyProtection="1">
      <protection hidden="1"/>
    </xf>
    <xf numFmtId="166" fontId="2" fillId="0" borderId="20" xfId="0" applyNumberFormat="1" applyFont="1" applyBorder="1" applyProtection="1">
      <protection hidden="1"/>
    </xf>
    <xf numFmtId="0" fontId="6" fillId="9" borderId="6" xfId="0" applyFont="1" applyFill="1" applyBorder="1" applyAlignment="1">
      <alignment horizontal="center"/>
    </xf>
    <xf numFmtId="0" fontId="2" fillId="5" borderId="22" xfId="0" applyFont="1" applyFill="1" applyBorder="1" applyAlignment="1">
      <alignment horizontal="center"/>
    </xf>
    <xf numFmtId="0" fontId="2" fillId="7" borderId="20" xfId="0" applyFont="1" applyFill="1" applyBorder="1"/>
    <xf numFmtId="0" fontId="2" fillId="10" borderId="11" xfId="0" applyFont="1" applyFill="1" applyBorder="1"/>
    <xf numFmtId="166" fontId="2" fillId="10" borderId="18" xfId="0" applyNumberFormat="1" applyFont="1" applyFill="1" applyBorder="1"/>
    <xf numFmtId="166" fontId="4" fillId="8" borderId="23" xfId="0" applyNumberFormat="1" applyFont="1" applyFill="1" applyBorder="1"/>
    <xf numFmtId="0" fontId="7" fillId="0" borderId="20" xfId="0" applyFont="1" applyBorder="1"/>
    <xf numFmtId="0" fontId="10" fillId="0" borderId="0" xfId="0" applyFont="1" applyFill="1" applyBorder="1"/>
    <xf numFmtId="0" fontId="11" fillId="0" borderId="0" xfId="0" applyFont="1" applyFill="1" applyBorder="1"/>
    <xf numFmtId="0" fontId="11" fillId="11" borderId="1" xfId="0" applyFont="1" applyFill="1" applyBorder="1"/>
    <xf numFmtId="0" fontId="11" fillId="11" borderId="2" xfId="0" applyFont="1" applyFill="1" applyBorder="1"/>
    <xf numFmtId="0" fontId="11" fillId="11" borderId="4" xfId="0" applyFont="1" applyFill="1" applyBorder="1"/>
    <xf numFmtId="0" fontId="11" fillId="11" borderId="0" xfId="0" applyFont="1" applyFill="1" applyBorder="1"/>
    <xf numFmtId="0" fontId="11" fillId="11" borderId="12" xfId="0" applyFont="1" applyFill="1" applyBorder="1"/>
    <xf numFmtId="0" fontId="11" fillId="11" borderId="13" xfId="0" applyFont="1" applyFill="1" applyBorder="1"/>
    <xf numFmtId="0" fontId="11" fillId="0" borderId="0" xfId="0" applyFont="1"/>
    <xf numFmtId="164" fontId="10" fillId="0" borderId="20" xfId="0" applyNumberFormat="1" applyFont="1" applyFill="1" applyBorder="1" applyAlignment="1">
      <alignment horizontal="center"/>
    </xf>
    <xf numFmtId="164" fontId="13" fillId="0" borderId="20" xfId="0" applyNumberFormat="1" applyFont="1" applyFill="1" applyBorder="1" applyAlignment="1">
      <alignment horizontal="center"/>
    </xf>
    <xf numFmtId="0" fontId="14" fillId="0" borderId="0" xfId="0" applyFont="1" applyFill="1" applyBorder="1"/>
    <xf numFmtId="0" fontId="11" fillId="11" borderId="3" xfId="0" applyFont="1" applyFill="1" applyBorder="1"/>
    <xf numFmtId="0" fontId="11" fillId="11" borderId="5" xfId="0" applyFont="1" applyFill="1" applyBorder="1"/>
    <xf numFmtId="0" fontId="10" fillId="0" borderId="20" xfId="0" applyNumberFormat="1" applyFont="1" applyFill="1" applyBorder="1" applyAlignment="1">
      <alignment horizontal="center"/>
    </xf>
    <xf numFmtId="0" fontId="11" fillId="11" borderId="14" xfId="0" applyFont="1" applyFill="1" applyBorder="1"/>
    <xf numFmtId="164" fontId="15" fillId="8" borderId="20" xfId="0" applyNumberFormat="1" applyFont="1" applyFill="1" applyBorder="1"/>
    <xf numFmtId="164" fontId="10" fillId="8" borderId="20" xfId="0" applyNumberFormat="1" applyFont="1" applyFill="1" applyBorder="1"/>
    <xf numFmtId="0" fontId="10" fillId="8" borderId="20" xfId="0" applyNumberFormat="1" applyFont="1" applyFill="1" applyBorder="1" applyAlignment="1">
      <alignment horizontal="center"/>
    </xf>
    <xf numFmtId="0" fontId="10" fillId="13" borderId="20" xfId="0" applyFont="1" applyFill="1" applyBorder="1"/>
    <xf numFmtId="0" fontId="12" fillId="12" borderId="2" xfId="0" applyFont="1" applyFill="1" applyBorder="1" applyAlignment="1">
      <alignment horizontal="center" vertical="center"/>
    </xf>
    <xf numFmtId="0" fontId="12" fillId="12" borderId="3" xfId="0" applyFont="1" applyFill="1" applyBorder="1" applyAlignment="1">
      <alignment horizontal="center" vertical="center"/>
    </xf>
    <xf numFmtId="0" fontId="12" fillId="12" borderId="0" xfId="0" applyFont="1" applyFill="1" applyBorder="1" applyAlignment="1">
      <alignment horizontal="center" vertical="center"/>
    </xf>
    <xf numFmtId="0" fontId="12" fillId="12" borderId="5" xfId="0" applyFont="1" applyFill="1" applyBorder="1" applyAlignment="1">
      <alignment horizontal="center" vertical="center"/>
    </xf>
    <xf numFmtId="166" fontId="2" fillId="0" borderId="19" xfId="0" applyNumberFormat="1" applyFont="1" applyBorder="1"/>
    <xf numFmtId="166" fontId="2" fillId="0" borderId="20" xfId="0" applyNumberFormat="1" applyFont="1" applyBorder="1"/>
    <xf numFmtId="166" fontId="2" fillId="0" borderId="0" xfId="0" applyNumberFormat="1" applyFont="1"/>
    <xf numFmtId="164" fontId="10" fillId="8" borderId="20" xfId="0" applyNumberFormat="1" applyFont="1" applyFill="1" applyBorder="1" applyAlignment="1">
      <alignment horizontal="center"/>
    </xf>
    <xf numFmtId="0" fontId="2" fillId="3" borderId="29" xfId="0" applyFont="1" applyFill="1" applyBorder="1"/>
    <xf numFmtId="167" fontId="7" fillId="0" borderId="20" xfId="0" applyNumberFormat="1" applyFont="1" applyFill="1" applyBorder="1" applyAlignment="1">
      <alignment horizontal="center"/>
    </xf>
    <xf numFmtId="167" fontId="7" fillId="0" borderId="20" xfId="0" applyNumberFormat="1" applyFont="1" applyFill="1" applyBorder="1" applyAlignment="1" applyProtection="1">
      <alignment horizontal="center"/>
      <protection locked="0"/>
    </xf>
    <xf numFmtId="167" fontId="9" fillId="0" borderId="20" xfId="0" applyNumberFormat="1" applyFont="1" applyFill="1" applyBorder="1" applyAlignment="1" applyProtection="1">
      <alignment horizontal="center" vertical="top"/>
    </xf>
    <xf numFmtId="167" fontId="8" fillId="0" borderId="20" xfId="0" applyNumberFormat="1" applyFont="1" applyFill="1" applyBorder="1" applyAlignment="1" applyProtection="1">
      <alignment horizontal="center" vertical="top"/>
    </xf>
    <xf numFmtId="167" fontId="7" fillId="0" borderId="20" xfId="0" applyNumberFormat="1" applyFont="1" applyBorder="1" applyAlignment="1">
      <alignment horizontal="center"/>
    </xf>
    <xf numFmtId="0" fontId="4" fillId="14" borderId="19" xfId="0" applyFont="1" applyFill="1" applyBorder="1"/>
    <xf numFmtId="2" fontId="4" fillId="14" borderId="20" xfId="0" applyNumberFormat="1" applyFont="1" applyFill="1" applyBorder="1"/>
    <xf numFmtId="2" fontId="4" fillId="14" borderId="20" xfId="0" applyNumberFormat="1" applyFont="1" applyFill="1" applyBorder="1" applyAlignment="1">
      <alignment horizontal="right"/>
    </xf>
    <xf numFmtId="2" fontId="1" fillId="14" borderId="20" xfId="0" applyNumberFormat="1" applyFont="1" applyFill="1" applyBorder="1"/>
    <xf numFmtId="166" fontId="2" fillId="0" borderId="0" xfId="0" applyNumberFormat="1" applyFont="1" applyBorder="1" applyProtection="1">
      <protection hidden="1"/>
    </xf>
    <xf numFmtId="0" fontId="2" fillId="0" borderId="0" xfId="0" applyFont="1" applyBorder="1"/>
    <xf numFmtId="166" fontId="1" fillId="8" borderId="23" xfId="0" applyNumberFormat="1" applyFont="1" applyFill="1" applyBorder="1"/>
    <xf numFmtId="0" fontId="7" fillId="0" borderId="20" xfId="0" applyFont="1" applyBorder="1" applyAlignment="1"/>
    <xf numFmtId="0" fontId="7" fillId="11" borderId="31" xfId="0" applyFont="1" applyFill="1" applyBorder="1"/>
    <xf numFmtId="0" fontId="7" fillId="15" borderId="20" xfId="0" applyFont="1" applyFill="1" applyBorder="1"/>
    <xf numFmtId="167" fontId="7" fillId="15" borderId="20" xfId="0" applyNumberFormat="1" applyFont="1" applyFill="1" applyBorder="1" applyAlignment="1">
      <alignment horizontal="center"/>
    </xf>
    <xf numFmtId="0" fontId="16" fillId="0" borderId="20" xfId="0" applyFont="1" applyBorder="1"/>
    <xf numFmtId="0" fontId="17" fillId="15" borderId="20" xfId="0" applyFont="1" applyFill="1" applyBorder="1"/>
    <xf numFmtId="0" fontId="7" fillId="0" borderId="30" xfId="0" applyFont="1" applyFill="1" applyBorder="1"/>
    <xf numFmtId="0" fontId="7" fillId="15" borderId="32" xfId="0" applyFont="1" applyFill="1" applyBorder="1"/>
    <xf numFmtId="167" fontId="7" fillId="15" borderId="32" xfId="0" applyNumberFormat="1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2" fillId="12" borderId="2" xfId="0" applyFont="1" applyFill="1" applyBorder="1" applyAlignment="1">
      <alignment horizontal="center" vertical="center" wrapText="1"/>
    </xf>
    <xf numFmtId="0" fontId="12" fillId="12" borderId="0" xfId="0" applyFont="1" applyFill="1" applyBorder="1" applyAlignment="1">
      <alignment horizontal="center" vertical="center"/>
    </xf>
    <xf numFmtId="0" fontId="12" fillId="12" borderId="27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  <xf numFmtId="0" fontId="12" fillId="12" borderId="28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/>
    </xf>
    <xf numFmtId="0" fontId="2" fillId="6" borderId="25" xfId="0" applyFont="1" applyFill="1" applyBorder="1" applyAlignment="1">
      <alignment horizontal="center"/>
    </xf>
    <xf numFmtId="0" fontId="2" fillId="6" borderId="26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2" fillId="11" borderId="1" xfId="0" applyFont="1" applyFill="1" applyBorder="1" applyAlignment="1">
      <alignment horizontal="center" wrapText="1"/>
    </xf>
    <xf numFmtId="0" fontId="2" fillId="11" borderId="2" xfId="0" applyFont="1" applyFill="1" applyBorder="1" applyAlignment="1">
      <alignment horizontal="center" wrapText="1"/>
    </xf>
    <xf numFmtId="0" fontId="2" fillId="11" borderId="3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1" borderId="0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1" borderId="12" xfId="0" applyFont="1" applyFill="1" applyBorder="1" applyAlignment="1">
      <alignment horizontal="center" wrapText="1"/>
    </xf>
    <xf numFmtId="0" fontId="2" fillId="11" borderId="13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17" fillId="15" borderId="33" xfId="0" applyFont="1" applyFill="1" applyBorder="1" applyAlignment="1">
      <alignment horizontal="center"/>
    </xf>
    <xf numFmtId="0" fontId="17" fillId="15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1</xdr:row>
      <xdr:rowOff>121920</xdr:rowOff>
    </xdr:from>
    <xdr:to>
      <xdr:col>12</xdr:col>
      <xdr:colOff>429637</xdr:colOff>
      <xdr:row>37</xdr:row>
      <xdr:rowOff>155152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9401F2C-0FA7-C665-DF6C-753FEAF89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289560"/>
          <a:ext cx="7249537" cy="60682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213361</xdr:colOff>
      <xdr:row>0</xdr:row>
      <xdr:rowOff>114301</xdr:rowOff>
    </xdr:from>
    <xdr:to>
      <xdr:col>13</xdr:col>
      <xdr:colOff>434341</xdr:colOff>
      <xdr:row>13</xdr:row>
      <xdr:rowOff>16945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1AF0D78-894B-4FDB-96F4-4E9CC9CD2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1" y="114301"/>
          <a:ext cx="8145780" cy="2081964"/>
        </a:xfrm>
        <a:prstGeom prst="rect">
          <a:avLst/>
        </a:prstGeom>
      </xdr:spPr>
    </xdr:pic>
    <xdr:clientData/>
  </xdr:twoCellAnchor>
  <xdr:twoCellAnchor editAs="oneCell">
    <xdr:from>
      <xdr:col>0</xdr:col>
      <xdr:colOff>373380</xdr:colOff>
      <xdr:row>16</xdr:row>
      <xdr:rowOff>38100</xdr:rowOff>
    </xdr:from>
    <xdr:to>
      <xdr:col>14</xdr:col>
      <xdr:colOff>180671</xdr:colOff>
      <xdr:row>28</xdr:row>
      <xdr:rowOff>154652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8380411-8968-14AD-F923-F9B5DA63B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" y="2720340"/>
          <a:ext cx="8341691" cy="2128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FB5D-A6A1-454A-B65E-126C84130711}">
  <dimension ref="A1"/>
  <sheetViews>
    <sheetView workbookViewId="0">
      <selection activeCell="O10" sqref="O10"/>
    </sheetView>
  </sheetViews>
  <sheetFormatPr defaultRowHeight="13.2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D36"/>
  <sheetViews>
    <sheetView topLeftCell="A2" zoomScale="75" workbookViewId="0">
      <selection activeCell="Q28" sqref="Q28"/>
    </sheetView>
  </sheetViews>
  <sheetFormatPr defaultColWidth="9.109375" defaultRowHeight="15.6" x14ac:dyDescent="0.3"/>
  <cols>
    <col min="1" max="2" width="9.109375" style="39"/>
    <col min="3" max="3" width="37.33203125" style="39" customWidth="1"/>
    <col min="4" max="4" width="10.44140625" style="39" bestFit="1" customWidth="1"/>
    <col min="5" max="5" width="9.88671875" style="39" bestFit="1" customWidth="1"/>
    <col min="6" max="6" width="8" style="39" bestFit="1" customWidth="1"/>
    <col min="7" max="9" width="9.109375" style="39"/>
    <col min="10" max="10" width="8.5546875" style="39" customWidth="1"/>
    <col min="11" max="11" width="11.44140625" style="39" bestFit="1" customWidth="1"/>
    <col min="12" max="12" width="10.88671875" style="39" bestFit="1" customWidth="1"/>
    <col min="13" max="13" width="12" style="39" bestFit="1" customWidth="1"/>
    <col min="14" max="15" width="13.5546875" style="39" customWidth="1"/>
    <col min="16" max="22" width="9.109375" style="39"/>
    <col min="23" max="23" width="14.109375" style="39" customWidth="1"/>
    <col min="24" max="24" width="22.33203125" style="39" customWidth="1"/>
    <col min="25" max="25" width="41.6640625" style="39" customWidth="1"/>
    <col min="26" max="16384" width="9.109375" style="39"/>
  </cols>
  <sheetData>
    <row r="2" spans="3:30" ht="16.2" thickBot="1" x14ac:dyDescent="0.35">
      <c r="D2" s="81" t="s">
        <v>55</v>
      </c>
      <c r="E2" s="81"/>
      <c r="F2" s="81"/>
      <c r="G2" s="81"/>
      <c r="H2" s="81"/>
      <c r="I2" s="81"/>
      <c r="J2" s="81"/>
      <c r="K2" s="81"/>
      <c r="L2" s="81"/>
    </row>
    <row r="3" spans="3:30" x14ac:dyDescent="0.3">
      <c r="C3" s="85" t="s">
        <v>0</v>
      </c>
      <c r="D3" s="51" t="s">
        <v>1</v>
      </c>
      <c r="E3" s="51" t="s">
        <v>2</v>
      </c>
      <c r="F3" s="51" t="s">
        <v>3</v>
      </c>
      <c r="G3" s="51" t="s">
        <v>4</v>
      </c>
      <c r="H3" s="82" t="s">
        <v>44</v>
      </c>
      <c r="I3" s="82" t="s">
        <v>43</v>
      </c>
      <c r="J3" s="51" t="s">
        <v>5</v>
      </c>
      <c r="K3" s="51" t="s">
        <v>6</v>
      </c>
      <c r="L3" s="51" t="s">
        <v>7</v>
      </c>
      <c r="M3" s="52" t="s">
        <v>8</v>
      </c>
      <c r="N3" s="52" t="s">
        <v>54</v>
      </c>
      <c r="O3" s="52" t="s">
        <v>56</v>
      </c>
    </row>
    <row r="4" spans="3:30" x14ac:dyDescent="0.3">
      <c r="C4" s="86"/>
      <c r="D4" s="53" t="s">
        <v>9</v>
      </c>
      <c r="E4" s="53" t="s">
        <v>42</v>
      </c>
      <c r="F4" s="53" t="s">
        <v>10</v>
      </c>
      <c r="G4" s="53" t="s">
        <v>11</v>
      </c>
      <c r="H4" s="83"/>
      <c r="I4" s="83"/>
      <c r="J4" s="53" t="s">
        <v>11</v>
      </c>
      <c r="K4" s="53" t="s">
        <v>11</v>
      </c>
      <c r="L4" s="53" t="s">
        <v>11</v>
      </c>
      <c r="M4" s="54" t="s">
        <v>11</v>
      </c>
      <c r="N4" s="54" t="s">
        <v>9</v>
      </c>
      <c r="O4" s="54" t="s">
        <v>10</v>
      </c>
    </row>
    <row r="5" spans="3:30" x14ac:dyDescent="0.3">
      <c r="C5" s="87"/>
      <c r="D5" s="53" t="s">
        <v>10</v>
      </c>
      <c r="E5" s="53" t="s">
        <v>12</v>
      </c>
      <c r="F5" s="53"/>
      <c r="G5" s="53" t="s">
        <v>10</v>
      </c>
      <c r="H5" s="84"/>
      <c r="I5" s="84"/>
      <c r="J5" s="53" t="s">
        <v>10</v>
      </c>
      <c r="K5" s="53" t="s">
        <v>10</v>
      </c>
      <c r="L5" s="53" t="s">
        <v>10</v>
      </c>
      <c r="M5" s="54" t="s">
        <v>10</v>
      </c>
      <c r="N5" s="54" t="s">
        <v>10</v>
      </c>
      <c r="O5" s="54"/>
    </row>
    <row r="6" spans="3:30" x14ac:dyDescent="0.3">
      <c r="C6" s="50" t="s">
        <v>37</v>
      </c>
      <c r="D6" s="40">
        <v>7.86</v>
      </c>
      <c r="E6" s="40">
        <v>3364</v>
      </c>
      <c r="F6" s="40">
        <v>0.02</v>
      </c>
      <c r="G6" s="40">
        <v>0.1</v>
      </c>
      <c r="H6" s="40">
        <v>0.01</v>
      </c>
      <c r="I6" s="40">
        <v>0.09</v>
      </c>
      <c r="J6" s="40">
        <v>0.23</v>
      </c>
      <c r="K6" s="40">
        <v>0.16</v>
      </c>
      <c r="L6" s="40">
        <v>0.31</v>
      </c>
      <c r="M6" s="40">
        <v>0.06</v>
      </c>
      <c r="N6" s="40">
        <v>1.73</v>
      </c>
      <c r="O6" s="40">
        <v>0.01</v>
      </c>
      <c r="P6" s="31"/>
      <c r="Q6" s="31"/>
      <c r="R6" s="31"/>
      <c r="S6" s="31"/>
      <c r="T6" s="31"/>
      <c r="U6" s="31"/>
      <c r="V6" s="31"/>
      <c r="W6" s="31"/>
      <c r="X6" s="31"/>
      <c r="Y6" s="32"/>
      <c r="Z6" s="32"/>
      <c r="AA6" s="32"/>
      <c r="AB6" s="32"/>
      <c r="AC6" s="32"/>
      <c r="AD6" s="32"/>
    </row>
    <row r="7" spans="3:30" x14ac:dyDescent="0.3">
      <c r="C7" s="50" t="s">
        <v>33</v>
      </c>
      <c r="D7" s="40">
        <v>45.4</v>
      </c>
      <c r="E7" s="40">
        <v>2258</v>
      </c>
      <c r="F7" s="40">
        <v>0.34</v>
      </c>
      <c r="G7" s="40">
        <v>0.27</v>
      </c>
      <c r="H7" s="40">
        <v>0.02</v>
      </c>
      <c r="I7" s="40">
        <v>0.05</v>
      </c>
      <c r="J7" s="40">
        <v>2.8</v>
      </c>
      <c r="K7" s="40">
        <v>0.61</v>
      </c>
      <c r="L7" s="40">
        <v>1.78</v>
      </c>
      <c r="M7" s="40">
        <v>0.64</v>
      </c>
      <c r="N7" s="40">
        <v>4.8600000000000003</v>
      </c>
      <c r="O7" s="40">
        <v>0.02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</row>
    <row r="8" spans="3:30" x14ac:dyDescent="0.3">
      <c r="C8" s="50" t="s">
        <v>45</v>
      </c>
      <c r="D8" s="41">
        <v>0</v>
      </c>
      <c r="E8" s="40">
        <v>8080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31"/>
      <c r="Q8" s="31"/>
      <c r="R8" s="31"/>
      <c r="S8" s="31"/>
      <c r="T8" s="31"/>
      <c r="U8" s="31"/>
      <c r="V8" s="31"/>
      <c r="W8" s="31"/>
      <c r="X8" s="31"/>
      <c r="Y8" s="32"/>
      <c r="Z8" s="32"/>
      <c r="AA8" s="32"/>
      <c r="AB8" s="32"/>
      <c r="AC8" s="32"/>
      <c r="AD8" s="32"/>
    </row>
    <row r="9" spans="3:30" x14ac:dyDescent="0.3">
      <c r="C9" s="50" t="s">
        <v>39</v>
      </c>
      <c r="D9" s="41">
        <v>0</v>
      </c>
      <c r="E9" s="40">
        <v>8300</v>
      </c>
      <c r="F9" s="41">
        <v>0</v>
      </c>
      <c r="G9" s="41">
        <v>0</v>
      </c>
      <c r="H9" s="41">
        <v>0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</row>
    <row r="10" spans="3:30" x14ac:dyDescent="0.3">
      <c r="C10" s="50" t="s">
        <v>46</v>
      </c>
      <c r="D10" s="41">
        <v>0</v>
      </c>
      <c r="E10" s="41">
        <v>0</v>
      </c>
      <c r="F10" s="40">
        <v>37.700000000000003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</row>
    <row r="11" spans="3:30" x14ac:dyDescent="0.3">
      <c r="C11" s="50" t="s">
        <v>13</v>
      </c>
      <c r="D11" s="41">
        <v>0</v>
      </c>
      <c r="E11" s="41">
        <v>0</v>
      </c>
      <c r="F11" s="40">
        <v>24.5</v>
      </c>
      <c r="G11" s="40">
        <v>18.5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</row>
    <row r="12" spans="3:30" x14ac:dyDescent="0.3">
      <c r="C12" s="50" t="s">
        <v>34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0">
        <v>40</v>
      </c>
      <c r="P12" s="42"/>
      <c r="Q12" s="4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</row>
    <row r="13" spans="3:30" x14ac:dyDescent="0.3">
      <c r="C13" s="50" t="s">
        <v>14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0">
        <v>78</v>
      </c>
      <c r="K13" s="40">
        <v>0</v>
      </c>
      <c r="L13" s="41">
        <v>0</v>
      </c>
      <c r="M13" s="41">
        <v>0</v>
      </c>
      <c r="N13" s="41">
        <v>0</v>
      </c>
      <c r="O13" s="41">
        <v>0</v>
      </c>
      <c r="P13" s="32"/>
      <c r="Q13" s="32"/>
      <c r="R13" s="32"/>
      <c r="S13" s="32"/>
      <c r="T13" s="32"/>
      <c r="U13" s="32"/>
      <c r="V13" s="32"/>
      <c r="W13" s="31"/>
      <c r="X13" s="31"/>
      <c r="Y13" s="31"/>
      <c r="Z13" s="32"/>
      <c r="AA13" s="32"/>
      <c r="AB13" s="32"/>
      <c r="AC13" s="32"/>
      <c r="AD13" s="32"/>
    </row>
    <row r="14" spans="3:30" x14ac:dyDescent="0.3">
      <c r="C14" s="50" t="s">
        <v>15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0">
        <v>99</v>
      </c>
      <c r="L14" s="41">
        <v>0</v>
      </c>
      <c r="M14" s="41">
        <v>0</v>
      </c>
      <c r="N14" s="41">
        <v>0</v>
      </c>
      <c r="O14" s="41">
        <v>0</v>
      </c>
      <c r="P14" s="32"/>
      <c r="Q14" s="32"/>
      <c r="R14" s="32"/>
      <c r="S14" s="32"/>
      <c r="T14" s="32"/>
      <c r="U14" s="32"/>
      <c r="V14" s="32"/>
      <c r="W14" s="31"/>
      <c r="X14" s="31"/>
      <c r="Y14" s="31"/>
      <c r="Z14" s="32"/>
      <c r="AA14" s="32"/>
      <c r="AB14" s="32"/>
      <c r="AC14" s="32"/>
      <c r="AD14" s="32"/>
    </row>
    <row r="15" spans="3:30" x14ac:dyDescent="0.3">
      <c r="C15" s="50" t="s">
        <v>16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0">
        <v>98</v>
      </c>
      <c r="M15" s="41">
        <v>0</v>
      </c>
      <c r="N15" s="41">
        <v>0</v>
      </c>
      <c r="O15" s="41">
        <v>0</v>
      </c>
      <c r="P15" s="32"/>
      <c r="Q15" s="32"/>
      <c r="R15" s="32"/>
      <c r="S15" s="32"/>
      <c r="T15" s="32"/>
      <c r="U15" s="32"/>
      <c r="V15" s="32"/>
      <c r="W15" s="31"/>
      <c r="X15" s="31"/>
      <c r="Y15" s="31"/>
      <c r="Z15" s="32"/>
      <c r="AA15" s="32"/>
      <c r="AB15" s="32"/>
      <c r="AC15" s="32"/>
      <c r="AD15" s="32"/>
    </row>
    <row r="16" spans="3:30" x14ac:dyDescent="0.3">
      <c r="C16" s="50" t="s">
        <v>17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41">
        <v>0</v>
      </c>
      <c r="K16" s="41">
        <v>0</v>
      </c>
      <c r="L16" s="41">
        <v>0</v>
      </c>
      <c r="M16" s="40">
        <v>98</v>
      </c>
      <c r="N16" s="41">
        <v>0</v>
      </c>
      <c r="O16" s="41">
        <v>0</v>
      </c>
      <c r="P16" s="32"/>
      <c r="Q16" s="32"/>
      <c r="R16" s="32"/>
      <c r="S16" s="32"/>
      <c r="T16" s="32"/>
      <c r="U16" s="32"/>
      <c r="V16" s="32"/>
      <c r="W16" s="31"/>
      <c r="X16" s="31"/>
      <c r="Y16" s="31"/>
      <c r="Z16" s="32"/>
      <c r="AA16" s="32"/>
      <c r="AB16" s="32"/>
      <c r="AC16" s="32"/>
      <c r="AD16" s="32"/>
    </row>
    <row r="17" spans="3:30" x14ac:dyDescent="0.3">
      <c r="C17" s="50" t="s">
        <v>18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32"/>
      <c r="Q17" s="32"/>
      <c r="R17" s="32"/>
      <c r="S17" s="32"/>
      <c r="T17" s="32"/>
      <c r="U17" s="32"/>
      <c r="V17" s="32"/>
      <c r="W17" s="31"/>
      <c r="X17" s="31"/>
      <c r="Y17" s="31"/>
      <c r="Z17" s="32"/>
      <c r="AA17" s="32"/>
      <c r="AB17" s="32"/>
      <c r="AC17" s="32"/>
      <c r="AD17" s="32"/>
    </row>
    <row r="18" spans="3:30" x14ac:dyDescent="0.3">
      <c r="C18" s="50" t="s">
        <v>19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</row>
    <row r="19" spans="3:30" x14ac:dyDescent="0.3">
      <c r="C19" s="50" t="s">
        <v>47</v>
      </c>
      <c r="D19" s="40">
        <v>8.34</v>
      </c>
      <c r="E19" s="40">
        <v>3219</v>
      </c>
      <c r="F19" s="40">
        <v>0.05</v>
      </c>
      <c r="G19" s="40">
        <v>0.18</v>
      </c>
      <c r="H19" s="40">
        <v>0</v>
      </c>
      <c r="I19" s="40">
        <v>0</v>
      </c>
      <c r="J19" s="40">
        <v>0.3</v>
      </c>
      <c r="K19" s="40">
        <v>0.2</v>
      </c>
      <c r="L19" s="40">
        <v>0.2</v>
      </c>
      <c r="M19" s="40">
        <v>0.1</v>
      </c>
      <c r="N19" s="40">
        <v>0.6</v>
      </c>
      <c r="O19" s="40">
        <v>0.02</v>
      </c>
    </row>
    <row r="20" spans="3:30" ht="16.2" thickBot="1" x14ac:dyDescent="0.35">
      <c r="C20" s="50" t="s">
        <v>40</v>
      </c>
      <c r="D20" s="40">
        <v>8.75</v>
      </c>
      <c r="E20" s="40">
        <v>3204</v>
      </c>
      <c r="F20" s="40">
        <v>0.03</v>
      </c>
      <c r="G20" s="40">
        <v>0.23</v>
      </c>
      <c r="H20" s="40">
        <v>0.02</v>
      </c>
      <c r="I20" s="40">
        <v>0.06</v>
      </c>
      <c r="J20" s="40">
        <v>0.2</v>
      </c>
      <c r="K20" s="40">
        <v>0.15</v>
      </c>
      <c r="L20" s="40">
        <v>0.28000000000000003</v>
      </c>
      <c r="M20" s="40">
        <v>0.1</v>
      </c>
      <c r="N20" s="40">
        <v>2.89</v>
      </c>
      <c r="O20" s="40">
        <v>0.01</v>
      </c>
    </row>
    <row r="21" spans="3:30" x14ac:dyDescent="0.3">
      <c r="C21" s="50" t="s">
        <v>48</v>
      </c>
      <c r="D21" s="40">
        <v>21.1</v>
      </c>
      <c r="E21" s="40">
        <v>1830</v>
      </c>
      <c r="F21" s="40">
        <v>0.12</v>
      </c>
      <c r="G21" s="40">
        <v>0.74</v>
      </c>
      <c r="H21" s="40">
        <v>0.18</v>
      </c>
      <c r="I21" s="40">
        <v>0.21</v>
      </c>
      <c r="J21" s="40">
        <v>2.46</v>
      </c>
      <c r="K21" s="40">
        <v>1.56</v>
      </c>
      <c r="L21" s="40">
        <v>3.7</v>
      </c>
      <c r="M21" s="40">
        <v>0.62</v>
      </c>
      <c r="N21" s="40">
        <v>8.14</v>
      </c>
      <c r="O21" s="40">
        <v>0.06</v>
      </c>
      <c r="Q21" s="33" t="s">
        <v>18</v>
      </c>
      <c r="R21" s="34"/>
      <c r="S21" s="34" t="s">
        <v>36</v>
      </c>
      <c r="T21" s="34"/>
      <c r="U21" s="34"/>
      <c r="V21" s="43"/>
    </row>
    <row r="22" spans="3:30" x14ac:dyDescent="0.3">
      <c r="C22" s="50" t="s">
        <v>49</v>
      </c>
      <c r="D22" s="40">
        <v>80.5</v>
      </c>
      <c r="E22" s="40">
        <v>3573</v>
      </c>
      <c r="F22" s="40">
        <v>0.17</v>
      </c>
      <c r="G22" s="40">
        <v>0.75</v>
      </c>
      <c r="H22" s="40">
        <v>1.1399999999999999</v>
      </c>
      <c r="I22" s="40">
        <v>0.02</v>
      </c>
      <c r="J22" s="40">
        <v>6.1</v>
      </c>
      <c r="K22" s="40">
        <v>1.29</v>
      </c>
      <c r="L22" s="40">
        <v>2.46</v>
      </c>
      <c r="M22" s="40">
        <v>3.68</v>
      </c>
      <c r="N22" s="40">
        <v>0.17</v>
      </c>
      <c r="O22" s="40">
        <v>0.01</v>
      </c>
      <c r="Q22" s="35" t="s">
        <v>19</v>
      </c>
      <c r="R22" s="36"/>
      <c r="S22" s="36" t="s">
        <v>36</v>
      </c>
      <c r="T22" s="36"/>
      <c r="U22" s="36"/>
      <c r="V22" s="44"/>
    </row>
    <row r="23" spans="3:30" ht="16.2" thickBot="1" x14ac:dyDescent="0.35">
      <c r="C23" s="50" t="s">
        <v>41</v>
      </c>
      <c r="D23" s="45">
        <v>42.6</v>
      </c>
      <c r="E23" s="40">
        <v>2083</v>
      </c>
      <c r="F23" s="40">
        <v>11.3</v>
      </c>
      <c r="G23" s="40">
        <v>6.2</v>
      </c>
      <c r="H23" s="40">
        <v>0.57999999999999996</v>
      </c>
      <c r="I23" s="40">
        <v>0.62</v>
      </c>
      <c r="J23" s="40">
        <v>2.0699999999999998</v>
      </c>
      <c r="K23" s="40">
        <v>0.56000000000000005</v>
      </c>
      <c r="L23" s="40">
        <v>1.29</v>
      </c>
      <c r="M23" s="40">
        <v>0.19</v>
      </c>
      <c r="N23" s="41">
        <v>0</v>
      </c>
      <c r="O23" s="40">
        <v>0.57999999999999996</v>
      </c>
      <c r="Q23" s="37"/>
      <c r="R23" s="38"/>
      <c r="S23" s="38"/>
      <c r="T23" s="38"/>
      <c r="U23" s="38"/>
      <c r="V23" s="46"/>
    </row>
    <row r="24" spans="3:30" x14ac:dyDescent="0.3">
      <c r="C24" s="50" t="s">
        <v>35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1">
        <v>0</v>
      </c>
      <c r="P24" s="32"/>
      <c r="Q24" s="32"/>
      <c r="R24" s="32"/>
      <c r="S24" s="32"/>
      <c r="T24" s="32"/>
    </row>
    <row r="25" spans="3:30" x14ac:dyDescent="0.3">
      <c r="C25" s="50" t="s">
        <v>50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41">
        <v>0</v>
      </c>
      <c r="J25" s="41">
        <v>0</v>
      </c>
      <c r="K25" s="41">
        <v>0</v>
      </c>
      <c r="L25" s="41">
        <v>0</v>
      </c>
      <c r="M25" s="41">
        <v>0</v>
      </c>
      <c r="N25" s="41">
        <v>0</v>
      </c>
      <c r="O25" s="41">
        <v>0</v>
      </c>
      <c r="P25" s="32"/>
      <c r="Q25" s="32"/>
      <c r="R25" s="32"/>
      <c r="S25" s="32"/>
      <c r="T25" s="32"/>
    </row>
    <row r="26" spans="3:30" x14ac:dyDescent="0.3">
      <c r="C26" s="50" t="s">
        <v>52</v>
      </c>
      <c r="D26" s="58">
        <v>15.1</v>
      </c>
      <c r="E26" s="58">
        <v>1810</v>
      </c>
      <c r="F26" s="58">
        <v>0.14000000000000001</v>
      </c>
      <c r="G26" s="58">
        <v>0.94</v>
      </c>
      <c r="H26" s="58">
        <v>0.02</v>
      </c>
      <c r="I26" s="58">
        <v>7.0000000000000007E-2</v>
      </c>
      <c r="J26" s="58">
        <v>0.6</v>
      </c>
      <c r="K26" s="58">
        <v>0.24</v>
      </c>
      <c r="L26" s="58">
        <v>0.51</v>
      </c>
      <c r="M26" s="58">
        <v>0.22</v>
      </c>
      <c r="N26" s="58">
        <v>9.07</v>
      </c>
      <c r="O26" s="58">
        <v>0.02</v>
      </c>
      <c r="P26" s="32"/>
      <c r="Q26" s="32"/>
      <c r="R26" s="32"/>
      <c r="S26" s="32"/>
      <c r="T26" s="32"/>
    </row>
    <row r="27" spans="3:30" x14ac:dyDescent="0.3">
      <c r="C27" s="50"/>
      <c r="D27" s="48"/>
      <c r="E27" s="48"/>
      <c r="F27" s="48"/>
      <c r="G27" s="48"/>
      <c r="H27" s="48"/>
      <c r="I27" s="48"/>
      <c r="J27" s="48"/>
      <c r="K27" s="48"/>
      <c r="L27" s="48"/>
      <c r="M27" s="47"/>
      <c r="N27" s="47"/>
      <c r="O27" s="47"/>
      <c r="P27" s="32"/>
      <c r="Q27" s="32"/>
      <c r="R27" s="32"/>
      <c r="S27" s="32"/>
      <c r="T27" s="32"/>
    </row>
    <row r="28" spans="3:30" x14ac:dyDescent="0.3">
      <c r="C28" s="50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</row>
    <row r="29" spans="3:30" x14ac:dyDescent="0.3">
      <c r="C29" s="50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</row>
    <row r="30" spans="3:30" x14ac:dyDescent="0.3">
      <c r="C30" s="50"/>
      <c r="D30" s="49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</row>
    <row r="31" spans="3:30" x14ac:dyDescent="0.3">
      <c r="C31" s="50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</row>
    <row r="32" spans="3:30" x14ac:dyDescent="0.3">
      <c r="C32" s="50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</row>
    <row r="33" spans="3:15" x14ac:dyDescent="0.3">
      <c r="C33" s="50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</row>
    <row r="34" spans="3:15" x14ac:dyDescent="0.3">
      <c r="C34" s="50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</row>
    <row r="35" spans="3:15" x14ac:dyDescent="0.3">
      <c r="C35" s="50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3:15" x14ac:dyDescent="0.3">
      <c r="C36" s="50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</row>
  </sheetData>
  <mergeCells count="4">
    <mergeCell ref="D2:L2"/>
    <mergeCell ref="H3:H5"/>
    <mergeCell ref="I3:I5"/>
    <mergeCell ref="C3:C5"/>
  </mergeCells>
  <phoneticPr fontId="0" type="noConversion"/>
  <pageMargins left="0.31" right="0.55000000000000004" top="0.61" bottom="0.38" header="0.49212598499999999" footer="0.49212598499999999"/>
  <pageSetup paperSize="9" orientation="landscape" horizontalDpi="204" verticalDpi="196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8"/>
  <sheetViews>
    <sheetView tabSelected="1" zoomScale="70" zoomScaleNormal="70" workbookViewId="0">
      <selection activeCell="X22" sqref="X22:AA28"/>
    </sheetView>
  </sheetViews>
  <sheetFormatPr defaultRowHeight="13.2" x14ac:dyDescent="0.25"/>
  <cols>
    <col min="1" max="1" width="36.109375" customWidth="1"/>
    <col min="2" max="2" width="11.33203125" bestFit="1" customWidth="1"/>
    <col min="3" max="3" width="4.109375" customWidth="1"/>
    <col min="4" max="4" width="12.5546875" bestFit="1" customWidth="1"/>
    <col min="5" max="5" width="12.6640625" bestFit="1" customWidth="1"/>
    <col min="6" max="6" width="14.109375" bestFit="1" customWidth="1"/>
    <col min="7" max="7" width="16.109375" customWidth="1"/>
    <col min="9" max="9" width="35.109375" customWidth="1"/>
    <col min="10" max="10" width="11.33203125" bestFit="1" customWidth="1"/>
    <col min="11" max="11" width="4.109375" customWidth="1"/>
    <col min="12" max="12" width="13.109375" bestFit="1" customWidth="1"/>
    <col min="13" max="13" width="12.6640625" bestFit="1" customWidth="1"/>
    <col min="14" max="14" width="14.33203125" bestFit="1" customWidth="1"/>
    <col min="15" max="15" width="12.5546875" bestFit="1" customWidth="1"/>
    <col min="16" max="16" width="6" customWidth="1"/>
    <col min="17" max="17" width="39" bestFit="1" customWidth="1"/>
    <col min="18" max="18" width="11" customWidth="1"/>
    <col min="19" max="19" width="13.44140625" bestFit="1" customWidth="1"/>
    <col min="21" max="21" width="35.109375" customWidth="1"/>
    <col min="22" max="22" width="11.33203125" bestFit="1" customWidth="1"/>
    <col min="23" max="23" width="4.109375" customWidth="1"/>
    <col min="24" max="24" width="13.109375" bestFit="1" customWidth="1"/>
    <col min="25" max="25" width="12.6640625" bestFit="1" customWidth="1"/>
    <col min="26" max="26" width="14.33203125" bestFit="1" customWidth="1"/>
    <col min="27" max="27" width="12.5546875" bestFit="1" customWidth="1"/>
    <col min="29" max="29" width="28.77734375" bestFit="1" customWidth="1"/>
    <col min="31" max="31" width="13.44140625" bestFit="1" customWidth="1"/>
  </cols>
  <sheetData>
    <row r="1" spans="1:31" ht="18" thickBot="1" x14ac:dyDescent="0.35">
      <c r="A1" s="91"/>
      <c r="B1" s="91"/>
      <c r="C1" s="91"/>
      <c r="D1" s="91"/>
      <c r="E1" s="91"/>
      <c r="F1" s="91"/>
      <c r="G1" s="91"/>
    </row>
    <row r="2" spans="1:31" ht="16.2" thickBot="1" x14ac:dyDescent="0.35">
      <c r="A2" s="88" t="s">
        <v>57</v>
      </c>
      <c r="B2" s="89"/>
      <c r="C2" s="89"/>
      <c r="D2" s="89"/>
      <c r="E2" s="89"/>
      <c r="F2" s="89"/>
      <c r="G2" s="90"/>
      <c r="I2" s="88" t="s">
        <v>58</v>
      </c>
      <c r="J2" s="89"/>
      <c r="K2" s="89"/>
      <c r="L2" s="89"/>
      <c r="M2" s="89"/>
      <c r="N2" s="89"/>
      <c r="O2" s="90"/>
      <c r="U2" s="88" t="s">
        <v>59</v>
      </c>
      <c r="V2" s="89"/>
      <c r="W2" s="89"/>
      <c r="X2" s="89"/>
      <c r="Y2" s="89"/>
      <c r="Z2" s="89"/>
      <c r="AA2" s="90"/>
    </row>
    <row r="3" spans="1:31" ht="16.2" thickBot="1" x14ac:dyDescent="0.35">
      <c r="A3" s="18"/>
      <c r="B3" s="18"/>
      <c r="C3" s="18"/>
      <c r="D3" s="18"/>
      <c r="E3" s="18"/>
      <c r="F3" s="18"/>
      <c r="G3" s="18"/>
    </row>
    <row r="4" spans="1:31" ht="16.2" thickBot="1" x14ac:dyDescent="0.35">
      <c r="A4" s="24" t="s">
        <v>20</v>
      </c>
      <c r="B4" s="21" t="s">
        <v>10</v>
      </c>
      <c r="C4" s="1"/>
      <c r="D4" s="2" t="s">
        <v>21</v>
      </c>
      <c r="E4" s="4" t="s">
        <v>22</v>
      </c>
      <c r="F4" s="4" t="s">
        <v>28</v>
      </c>
      <c r="G4" s="3" t="s">
        <v>32</v>
      </c>
      <c r="I4" s="24" t="s">
        <v>20</v>
      </c>
      <c r="J4" s="21" t="s">
        <v>10</v>
      </c>
      <c r="K4" s="1"/>
      <c r="L4" s="2" t="s">
        <v>21</v>
      </c>
      <c r="M4" s="4" t="s">
        <v>22</v>
      </c>
      <c r="N4" s="4" t="s">
        <v>28</v>
      </c>
      <c r="O4" s="3" t="s">
        <v>32</v>
      </c>
      <c r="U4" s="24" t="s">
        <v>20</v>
      </c>
      <c r="V4" s="21" t="s">
        <v>10</v>
      </c>
      <c r="W4" s="1"/>
      <c r="X4" s="2" t="s">
        <v>21</v>
      </c>
      <c r="Y4" s="4" t="s">
        <v>22</v>
      </c>
      <c r="Z4" s="4" t="s">
        <v>28</v>
      </c>
      <c r="AA4" s="3" t="s">
        <v>32</v>
      </c>
    </row>
    <row r="5" spans="1:31" ht="17.399999999999999" x14ac:dyDescent="0.3">
      <c r="A5" s="26" t="str">
        <f>MATRIZ!C6</f>
        <v>Milho, Grão 7,86%</v>
      </c>
      <c r="B5" s="29">
        <v>38.253999999999998</v>
      </c>
      <c r="C5" s="1"/>
      <c r="D5" s="6" t="s">
        <v>2</v>
      </c>
      <c r="E5" s="65">
        <v>3250</v>
      </c>
      <c r="F5" s="22">
        <f>SUMPRODUCT(Ingred1,EM)/100</f>
        <v>3251.7285600000005</v>
      </c>
      <c r="G5" s="55">
        <f>F5-E5</f>
        <v>1.7285600000004706</v>
      </c>
      <c r="I5" s="26" t="str">
        <f>MATRIZ!C6</f>
        <v>Milho, Grão 7,86%</v>
      </c>
      <c r="J5" s="29">
        <v>38.253999999999998</v>
      </c>
      <c r="K5" s="1"/>
      <c r="L5" s="6" t="s">
        <v>2</v>
      </c>
      <c r="M5" s="19">
        <v>2975</v>
      </c>
      <c r="N5" s="22">
        <f>SUMPRODUCT(Ing_F,EM)/100</f>
        <v>2975.1965100000002</v>
      </c>
      <c r="O5" s="16">
        <f>N5-M5</f>
        <v>0.19651000000021668</v>
      </c>
      <c r="Q5" s="92" t="s">
        <v>38</v>
      </c>
      <c r="R5" s="92"/>
      <c r="S5" s="72" t="s">
        <v>60</v>
      </c>
      <c r="U5" s="26" t="str">
        <f>MATRIZ!C6</f>
        <v>Milho, Grão 7,86%</v>
      </c>
      <c r="V5" s="29">
        <v>27.49</v>
      </c>
      <c r="W5" s="1"/>
      <c r="X5" s="6" t="s">
        <v>2</v>
      </c>
      <c r="Y5" s="19">
        <v>2975</v>
      </c>
      <c r="Z5" s="22">
        <f>SUMPRODUCT(Ing_equinos,EM)/100</f>
        <v>2975.2220999999995</v>
      </c>
      <c r="AA5" s="16">
        <f t="shared" ref="AA5:AA14" si="0">Z5-Y5</f>
        <v>0.22209999999950014</v>
      </c>
      <c r="AC5" s="92" t="s">
        <v>38</v>
      </c>
      <c r="AD5" s="92"/>
      <c r="AE5" s="30" t="s">
        <v>60</v>
      </c>
    </row>
    <row r="6" spans="1:31" ht="17.399999999999999" x14ac:dyDescent="0.3">
      <c r="A6" s="26" t="str">
        <f>MATRIZ!C7</f>
        <v>Soja, Farelo</v>
      </c>
      <c r="B6" s="29">
        <v>40</v>
      </c>
      <c r="C6" s="1"/>
      <c r="D6" s="5" t="s">
        <v>23</v>
      </c>
      <c r="E6" s="66">
        <v>20.58</v>
      </c>
      <c r="F6" s="23">
        <f>SUMPRODUCT(Ingred1,PB)/100</f>
        <v>24.386764400000001</v>
      </c>
      <c r="G6" s="56">
        <f t="shared" ref="G6:G14" si="1">F6-E6</f>
        <v>3.8067644000000023</v>
      </c>
      <c r="I6" s="26" t="str">
        <f>MATRIZ!C7</f>
        <v>Soja, Farelo</v>
      </c>
      <c r="J6" s="29">
        <v>40</v>
      </c>
      <c r="K6" s="1"/>
      <c r="L6" s="5" t="s">
        <v>23</v>
      </c>
      <c r="M6" s="20">
        <v>22.37</v>
      </c>
      <c r="N6" s="23">
        <f>SUMPRODUCT(Ing_F,PB)/100</f>
        <v>24.687089400000001</v>
      </c>
      <c r="O6" s="17">
        <f t="shared" ref="O6:O11" si="2">N6-M6</f>
        <v>2.3170894000000004</v>
      </c>
      <c r="Q6" s="30" t="str">
        <f>$A$5</f>
        <v>Milho, Grão 7,86%</v>
      </c>
      <c r="R6" s="60">
        <v>1.33</v>
      </c>
      <c r="S6" s="30">
        <f>R6*J5</f>
        <v>50.87782</v>
      </c>
      <c r="U6" s="26" t="str">
        <f>MATRIZ!C7</f>
        <v>Soja, Farelo</v>
      </c>
      <c r="V6" s="29"/>
      <c r="W6" s="1"/>
      <c r="X6" s="5" t="s">
        <v>23</v>
      </c>
      <c r="Y6" s="20">
        <v>22.37</v>
      </c>
      <c r="Z6" s="23">
        <f>SUMPRODUCT(Ing_equinos,PB)/100</f>
        <v>23.439414000000003</v>
      </c>
      <c r="AA6" s="17">
        <f t="shared" si="0"/>
        <v>1.0694140000000019</v>
      </c>
      <c r="AC6" s="30" t="str">
        <f>$A$5</f>
        <v>Milho, Grão 7,86%</v>
      </c>
      <c r="AD6" s="60">
        <v>1.33</v>
      </c>
      <c r="AE6" s="30">
        <f>AD6*V5</f>
        <v>36.561700000000002</v>
      </c>
    </row>
    <row r="7" spans="1:31" ht="17.399999999999999" x14ac:dyDescent="0.3">
      <c r="A7" s="26" t="str">
        <f>MATRIZ!C8</f>
        <v>Gordura animal (suínos)</v>
      </c>
      <c r="B7" s="29">
        <v>4.18</v>
      </c>
      <c r="C7" s="1"/>
      <c r="D7" s="5" t="s">
        <v>24</v>
      </c>
      <c r="E7" s="66">
        <v>1.1240000000000001</v>
      </c>
      <c r="F7" s="23">
        <f>SUMPRODUCT(Ingred1,Lis)/100</f>
        <v>1.4519842000000001</v>
      </c>
      <c r="G7" s="56">
        <f t="shared" si="1"/>
        <v>0.32798419999999995</v>
      </c>
      <c r="I7" s="26" t="str">
        <f>MATRIZ!C8</f>
        <v>Gordura animal (suínos)</v>
      </c>
      <c r="J7" s="29"/>
      <c r="K7" s="1"/>
      <c r="L7" s="5" t="s">
        <v>24</v>
      </c>
      <c r="M7" s="20">
        <v>1.3069999999999999</v>
      </c>
      <c r="N7" s="23">
        <f>SUMPRODUCT(Ing_F,Lis)/100</f>
        <v>1.4914991999999998</v>
      </c>
      <c r="O7" s="17">
        <f t="shared" si="2"/>
        <v>0.18449919999999986</v>
      </c>
      <c r="Q7" s="30" t="str">
        <f>$A$6</f>
        <v>Soja, Farelo</v>
      </c>
      <c r="R7" s="61">
        <v>2.35</v>
      </c>
      <c r="S7" s="30">
        <f t="shared" ref="S7:S22" si="3">R7*J6</f>
        <v>94</v>
      </c>
      <c r="U7" s="26" t="str">
        <f>MATRIZ!C8</f>
        <v>Gordura animal (suínos)</v>
      </c>
      <c r="V7" s="29">
        <v>12.5</v>
      </c>
      <c r="W7" s="1"/>
      <c r="X7" s="5" t="s">
        <v>24</v>
      </c>
      <c r="Y7" s="20">
        <v>1.3069999999999999</v>
      </c>
      <c r="Z7" s="23">
        <f>SUMPRODUCT(Ing_equinos,Lis)/100</f>
        <v>1.3077920000000001</v>
      </c>
      <c r="AA7" s="17">
        <f t="shared" si="0"/>
        <v>7.9200000000012594E-4</v>
      </c>
      <c r="AC7" s="30" t="str">
        <f>$A$6</f>
        <v>Soja, Farelo</v>
      </c>
      <c r="AD7" s="61">
        <v>2.35</v>
      </c>
      <c r="AE7" s="30">
        <f t="shared" ref="AE7:AE22" si="4">AD7*V6</f>
        <v>0</v>
      </c>
    </row>
    <row r="8" spans="1:31" ht="17.399999999999999" x14ac:dyDescent="0.3">
      <c r="A8" s="26" t="str">
        <f>MATRIZ!C9</f>
        <v>Oleo de soja</v>
      </c>
      <c r="B8" s="29">
        <v>7</v>
      </c>
      <c r="C8" s="1"/>
      <c r="D8" s="5" t="s">
        <v>6</v>
      </c>
      <c r="E8" s="67">
        <v>0.46</v>
      </c>
      <c r="F8" s="23">
        <f>SUMPRODUCT(Ingred1,Met)/100</f>
        <v>0.49045640000000007</v>
      </c>
      <c r="G8" s="56">
        <f t="shared" si="1"/>
        <v>3.045640000000005E-2</v>
      </c>
      <c r="I8" s="26" t="str">
        <f>MATRIZ!C9</f>
        <v>Oleo de soja</v>
      </c>
      <c r="J8" s="29">
        <v>6.7</v>
      </c>
      <c r="K8" s="1"/>
      <c r="L8" s="5" t="s">
        <v>6</v>
      </c>
      <c r="M8" s="20">
        <v>0.53600000000000003</v>
      </c>
      <c r="N8" s="23">
        <f>SUMPRODUCT(Ing_F,Met)/100</f>
        <v>0.54407990000000006</v>
      </c>
      <c r="O8" s="17">
        <f t="shared" si="2"/>
        <v>8.0799000000000287E-3</v>
      </c>
      <c r="Q8" s="30" t="str">
        <f>$A$7</f>
        <v>Gordura animal (suínos)</v>
      </c>
      <c r="R8" s="60">
        <v>3.75</v>
      </c>
      <c r="S8" s="30">
        <f t="shared" si="3"/>
        <v>0</v>
      </c>
      <c r="U8" s="26" t="str">
        <f>MATRIZ!C9</f>
        <v>Oleo de soja</v>
      </c>
      <c r="V8" s="29"/>
      <c r="W8" s="1"/>
      <c r="X8" s="5" t="s">
        <v>6</v>
      </c>
      <c r="Y8" s="20">
        <v>0.53600000000000003</v>
      </c>
      <c r="Z8" s="23">
        <f>SUMPRODUCT(Ing_equinos,Met)/100</f>
        <v>0.5415040000000001</v>
      </c>
      <c r="AA8" s="17">
        <f t="shared" si="0"/>
        <v>5.5040000000000644E-3</v>
      </c>
      <c r="AC8" s="30" t="str">
        <f>$A$7</f>
        <v>Gordura animal (suínos)</v>
      </c>
      <c r="AD8" s="60">
        <v>3.75</v>
      </c>
      <c r="AE8" s="30">
        <f t="shared" si="4"/>
        <v>46.875</v>
      </c>
    </row>
    <row r="9" spans="1:31" ht="17.399999999999999" x14ac:dyDescent="0.3">
      <c r="A9" s="26" t="str">
        <f>MATRIZ!C10</f>
        <v>Calcário calcítico</v>
      </c>
      <c r="B9" s="29">
        <v>1.2</v>
      </c>
      <c r="C9" s="1"/>
      <c r="D9" s="5" t="s">
        <v>25</v>
      </c>
      <c r="E9" s="68">
        <v>0.74</v>
      </c>
      <c r="F9" s="23">
        <f>SUMPRODUCT(Ingred1,Treo)/100</f>
        <v>0.92898740000000002</v>
      </c>
      <c r="G9" s="56">
        <f t="shared" si="1"/>
        <v>0.18898740000000003</v>
      </c>
      <c r="I9" s="26" t="str">
        <f>MATRIZ!C10</f>
        <v>Calcário calcítico</v>
      </c>
      <c r="J9" s="29">
        <v>1.2</v>
      </c>
      <c r="K9" s="1"/>
      <c r="L9" s="5" t="s">
        <v>25</v>
      </c>
      <c r="M9" s="20">
        <v>0.86299999999999999</v>
      </c>
      <c r="N9" s="23">
        <f>SUMPRODUCT(Ing_F,Treo)/100</f>
        <v>1.0619513999999999</v>
      </c>
      <c r="O9" s="17">
        <f>N9-M9</f>
        <v>0.19895139999999989</v>
      </c>
      <c r="Q9" s="30" t="str">
        <f>$A$8</f>
        <v>Oleo de soja</v>
      </c>
      <c r="R9" s="60">
        <v>4.8</v>
      </c>
      <c r="S9" s="30">
        <f t="shared" si="3"/>
        <v>32.159999999999997</v>
      </c>
      <c r="U9" s="26" t="str">
        <f>MATRIZ!C10</f>
        <v>Calcário calcítico</v>
      </c>
      <c r="V9" s="29"/>
      <c r="W9" s="1"/>
      <c r="X9" s="5" t="s">
        <v>25</v>
      </c>
      <c r="Y9" s="20">
        <v>0.86299999999999999</v>
      </c>
      <c r="Z9" s="23">
        <f>SUMPRODUCT(Ing_equinos,Treo)/100</f>
        <v>0.86677400000000004</v>
      </c>
      <c r="AA9" s="17">
        <f t="shared" si="0"/>
        <v>3.7740000000000551E-3</v>
      </c>
      <c r="AC9" s="30" t="str">
        <f>$A$8</f>
        <v>Oleo de soja</v>
      </c>
      <c r="AD9" s="60">
        <v>4.8</v>
      </c>
      <c r="AE9" s="30">
        <f t="shared" si="4"/>
        <v>0</v>
      </c>
    </row>
    <row r="10" spans="1:31" ht="17.399999999999999" x14ac:dyDescent="0.3">
      <c r="A10" s="26" t="str">
        <f>MATRIZ!C11</f>
        <v>Fosfato Bicálcico</v>
      </c>
      <c r="B10" s="29">
        <v>1.5</v>
      </c>
      <c r="C10" s="1"/>
      <c r="D10" s="5" t="s">
        <v>8</v>
      </c>
      <c r="E10" s="66">
        <v>0.20200000000000001</v>
      </c>
      <c r="F10" s="23">
        <f>SUMPRODUCT(Ingred1,Trip)/100</f>
        <v>0.42615239999999999</v>
      </c>
      <c r="G10" s="56">
        <f t="shared" si="1"/>
        <v>0.22415239999999997</v>
      </c>
      <c r="I10" s="26" t="str">
        <f>MATRIZ!C11</f>
        <v>Fosfato Bicálcico</v>
      </c>
      <c r="J10" s="29">
        <v>1.5</v>
      </c>
      <c r="K10" s="1"/>
      <c r="L10" s="5" t="s">
        <v>8</v>
      </c>
      <c r="M10" s="20">
        <v>0.23499999999999999</v>
      </c>
      <c r="N10" s="23">
        <f>SUMPRODUCT(Ing_F,Trip)/100</f>
        <v>0.41081440000000002</v>
      </c>
      <c r="O10" s="17">
        <f t="shared" si="2"/>
        <v>0.17581440000000004</v>
      </c>
      <c r="Q10" s="30" t="str">
        <f>$A$9</f>
        <v>Calcário calcítico</v>
      </c>
      <c r="R10" s="62">
        <v>0.15</v>
      </c>
      <c r="S10" s="30">
        <f t="shared" si="3"/>
        <v>0.18</v>
      </c>
      <c r="U10" s="26" t="str">
        <f>MATRIZ!C11</f>
        <v>Fosfato Bicálcico</v>
      </c>
      <c r="V10" s="29"/>
      <c r="W10" s="1"/>
      <c r="X10" s="5" t="s">
        <v>8</v>
      </c>
      <c r="Y10" s="20">
        <v>0.23499999999999999</v>
      </c>
      <c r="Z10" s="23">
        <f>SUMPRODUCT(Ing_equinos,Trip)/100</f>
        <v>0.25839899999999999</v>
      </c>
      <c r="AA10" s="17">
        <f t="shared" si="0"/>
        <v>2.3399000000000003E-2</v>
      </c>
      <c r="AC10" s="30" t="str">
        <f>$A$9</f>
        <v>Calcário calcítico</v>
      </c>
      <c r="AD10" s="62">
        <v>0.15</v>
      </c>
      <c r="AE10" s="30">
        <f t="shared" si="4"/>
        <v>0</v>
      </c>
    </row>
    <row r="11" spans="1:31" ht="18" x14ac:dyDescent="0.3">
      <c r="A11" s="26" t="str">
        <f>MATRIZ!C12</f>
        <v>Cloreto de Sódio</v>
      </c>
      <c r="B11" s="71">
        <v>0.54</v>
      </c>
      <c r="C11" s="1"/>
      <c r="D11" s="5" t="s">
        <v>26</v>
      </c>
      <c r="E11" s="66">
        <v>0.75800000000000001</v>
      </c>
      <c r="F11" s="23">
        <f>SUMPRODUCT(Ingred1,Ca)/100</f>
        <v>0.97035080000000007</v>
      </c>
      <c r="G11" s="56">
        <f t="shared" si="1"/>
        <v>0.21235080000000006</v>
      </c>
      <c r="I11" s="26" t="str">
        <f>MATRIZ!C12</f>
        <v>Cloreto de Sódio</v>
      </c>
      <c r="J11" s="29">
        <v>0.54</v>
      </c>
      <c r="K11" s="1"/>
      <c r="L11" s="5" t="s">
        <v>26</v>
      </c>
      <c r="M11" s="20">
        <v>0.97099999999999997</v>
      </c>
      <c r="N11" s="23">
        <f>SUMPRODUCT(Ing_F,Ca)/100</f>
        <v>0.9775163</v>
      </c>
      <c r="O11" s="17">
        <f t="shared" si="2"/>
        <v>6.5163000000000304E-3</v>
      </c>
      <c r="Q11" s="30" t="str">
        <f>$A$10</f>
        <v>Fosfato Bicálcico</v>
      </c>
      <c r="R11" s="63">
        <v>0.8</v>
      </c>
      <c r="S11" s="30">
        <f t="shared" si="3"/>
        <v>1.2000000000000002</v>
      </c>
      <c r="U11" s="26" t="str">
        <f>MATRIZ!C12</f>
        <v>Cloreto de Sódio</v>
      </c>
      <c r="V11" s="29"/>
      <c r="W11" s="1"/>
      <c r="X11" s="5" t="s">
        <v>26</v>
      </c>
      <c r="Y11" s="20">
        <v>0.97099999999999997</v>
      </c>
      <c r="Z11" s="23">
        <f>SUMPRODUCT(Ing_equinos,Ca)/100</f>
        <v>5.6498480000000004</v>
      </c>
      <c r="AA11" s="17">
        <f t="shared" si="0"/>
        <v>4.6788480000000003</v>
      </c>
      <c r="AC11" s="30" t="str">
        <f>$A$10</f>
        <v>Fosfato Bicálcico</v>
      </c>
      <c r="AD11" s="63">
        <v>0.8</v>
      </c>
      <c r="AE11" s="30">
        <f t="shared" si="4"/>
        <v>0</v>
      </c>
    </row>
    <row r="12" spans="1:31" ht="18" x14ac:dyDescent="0.3">
      <c r="A12" s="26" t="str">
        <f>MATRIZ!C13</f>
        <v>L-Lisina HCL</v>
      </c>
      <c r="B12" s="29"/>
      <c r="C12" s="1"/>
      <c r="D12" s="5" t="s">
        <v>27</v>
      </c>
      <c r="E12" s="66">
        <v>0.374</v>
      </c>
      <c r="F12" s="23">
        <f>SUMPRODUCT(Ingred1,P)/100</f>
        <v>0.45375399999999999</v>
      </c>
      <c r="G12" s="56">
        <f t="shared" si="1"/>
        <v>7.9753999999999992E-2</v>
      </c>
      <c r="I12" s="26" t="str">
        <f>MATRIZ!C13</f>
        <v>L-Lisina HCL</v>
      </c>
      <c r="J12" s="29"/>
      <c r="K12" s="1"/>
      <c r="L12" s="5" t="s">
        <v>27</v>
      </c>
      <c r="M12" s="20">
        <v>0.46300000000000002</v>
      </c>
      <c r="N12" s="23">
        <f>SUMPRODUCT(Ing_F,P)/100</f>
        <v>0.50426650000000006</v>
      </c>
      <c r="O12" s="17">
        <f>N12-M12</f>
        <v>4.1266500000000039E-2</v>
      </c>
      <c r="Q12" s="30" t="str">
        <f>$A$11</f>
        <v>Cloreto de Sódio</v>
      </c>
      <c r="R12" s="63">
        <v>1</v>
      </c>
      <c r="S12" s="30">
        <f t="shared" si="3"/>
        <v>0.54</v>
      </c>
      <c r="U12" s="26" t="str">
        <f>MATRIZ!C13</f>
        <v>L-Lisina HCL</v>
      </c>
      <c r="V12" s="29">
        <v>0.27</v>
      </c>
      <c r="W12" s="1"/>
      <c r="X12" s="5" t="s">
        <v>27</v>
      </c>
      <c r="Y12" s="20">
        <v>0.46300000000000002</v>
      </c>
      <c r="Z12" s="23">
        <f>SUMPRODUCT(Ing_equinos,P)/100</f>
        <v>3.1243900000000009</v>
      </c>
      <c r="AA12" s="17">
        <f t="shared" si="0"/>
        <v>2.6613900000000008</v>
      </c>
      <c r="AC12" s="30" t="str">
        <f>$A$11</f>
        <v>Cloreto de Sódio</v>
      </c>
      <c r="AD12" s="63">
        <v>1</v>
      </c>
      <c r="AE12" s="30">
        <f t="shared" si="4"/>
        <v>0</v>
      </c>
    </row>
    <row r="13" spans="1:31" ht="18" x14ac:dyDescent="0.3">
      <c r="A13" s="26" t="str">
        <f>MATRIZ!C14</f>
        <v>DL-Metionina</v>
      </c>
      <c r="B13" s="29">
        <v>0.13500000000000001</v>
      </c>
      <c r="C13" s="1"/>
      <c r="D13" s="5" t="s">
        <v>53</v>
      </c>
      <c r="E13" s="66"/>
      <c r="F13" s="23">
        <f>SUMPRODUCT(Ingred1,Fb)/100</f>
        <v>2.6125942000000002</v>
      </c>
      <c r="G13" s="56">
        <f t="shared" si="1"/>
        <v>2.6125942000000002</v>
      </c>
      <c r="I13" s="26" t="str">
        <f>MATRIZ!C14</f>
        <v>DL-Metionina</v>
      </c>
      <c r="J13" s="29">
        <v>0.13500000000000001</v>
      </c>
      <c r="K13" s="1"/>
      <c r="L13" s="5" t="s">
        <v>53</v>
      </c>
      <c r="M13" s="20"/>
      <c r="N13" s="23">
        <f>SUMPRODUCT(Ing_F,Fb)/100</f>
        <v>3.2307847000000005</v>
      </c>
      <c r="O13" s="56"/>
      <c r="Q13" s="30" t="str">
        <f>$A$12</f>
        <v>L-Lisina HCL</v>
      </c>
      <c r="R13" s="63">
        <v>5</v>
      </c>
      <c r="S13" s="30">
        <f t="shared" si="3"/>
        <v>0</v>
      </c>
      <c r="U13" s="26" t="str">
        <f>MATRIZ!C14</f>
        <v>DL-Metionina</v>
      </c>
      <c r="V13" s="71">
        <v>0.22</v>
      </c>
      <c r="W13" s="1"/>
      <c r="X13" s="5" t="s">
        <v>53</v>
      </c>
      <c r="Y13" s="20"/>
      <c r="Z13" s="23">
        <f>SUMPRODUCT(Ing_equinos,Fb)/100</f>
        <v>0.47557699999999997</v>
      </c>
      <c r="AA13" s="56">
        <f t="shared" si="0"/>
        <v>0.47557699999999997</v>
      </c>
      <c r="AC13" s="30" t="str">
        <f>$A$12</f>
        <v>L-Lisina HCL</v>
      </c>
      <c r="AD13" s="63">
        <v>5</v>
      </c>
      <c r="AE13" s="30">
        <f t="shared" si="4"/>
        <v>1.35</v>
      </c>
    </row>
    <row r="14" spans="1:31" ht="17.399999999999999" x14ac:dyDescent="0.3">
      <c r="A14" s="26" t="str">
        <f>MATRIZ!C15</f>
        <v>L-Treonina</v>
      </c>
      <c r="B14" s="29"/>
      <c r="C14" s="1"/>
      <c r="D14" s="59" t="s">
        <v>56</v>
      </c>
      <c r="E14" s="66">
        <v>0.21</v>
      </c>
      <c r="F14" s="23">
        <f>SUMPRODUCT(Ingred1,Na)/100</f>
        <v>0.22822539999999999</v>
      </c>
      <c r="G14" s="56">
        <f t="shared" si="1"/>
        <v>1.8225400000000003E-2</v>
      </c>
      <c r="I14" s="26" t="str">
        <f>MATRIZ!C15</f>
        <v>L-Treonina</v>
      </c>
      <c r="J14" s="29"/>
      <c r="K14" s="1"/>
      <c r="L14" s="59" t="s">
        <v>56</v>
      </c>
      <c r="M14" s="20">
        <v>0.22500000000000001</v>
      </c>
      <c r="N14" s="23">
        <f>SUMPRODUCT(Ing_F,Na)/100</f>
        <v>0.23114689999999999</v>
      </c>
      <c r="O14" s="56">
        <f>N14-M14</f>
        <v>6.1468999999999829E-3</v>
      </c>
      <c r="Q14" s="30" t="str">
        <f>$A$13</f>
        <v>DL-Metionina</v>
      </c>
      <c r="R14" s="60">
        <v>10</v>
      </c>
      <c r="S14" s="30">
        <f t="shared" si="3"/>
        <v>1.35</v>
      </c>
      <c r="U14" s="26" t="str">
        <f>MATRIZ!C15</f>
        <v>L-Treonina</v>
      </c>
      <c r="V14" s="29">
        <v>0.14000000000000001</v>
      </c>
      <c r="W14" s="1"/>
      <c r="X14" s="59" t="s">
        <v>56</v>
      </c>
      <c r="Y14" s="20">
        <v>0.22500000000000001</v>
      </c>
      <c r="Z14" s="23">
        <f>SUMPRODUCT(Ing_equinos,Na)/100</f>
        <v>0.29245899999999997</v>
      </c>
      <c r="AA14" s="56">
        <f t="shared" si="0"/>
        <v>6.7458999999999963E-2</v>
      </c>
      <c r="AC14" s="30" t="str">
        <f>$A$13</f>
        <v>DL-Metionina</v>
      </c>
      <c r="AD14" s="60">
        <v>10</v>
      </c>
      <c r="AE14" s="30">
        <f t="shared" si="4"/>
        <v>2.2000000000000002</v>
      </c>
    </row>
    <row r="15" spans="1:31" ht="18" thickBot="1" x14ac:dyDescent="0.35">
      <c r="A15" s="26" t="str">
        <f>MATRIZ!C16</f>
        <v>L-Triptofano</v>
      </c>
      <c r="B15" s="29"/>
      <c r="C15" s="1"/>
      <c r="D15" s="7"/>
      <c r="E15" s="8"/>
      <c r="F15" s="8"/>
      <c r="G15" s="9"/>
      <c r="I15" s="26" t="str">
        <f>MATRIZ!C16</f>
        <v>L-Triptofano</v>
      </c>
      <c r="J15" s="29"/>
      <c r="K15" s="1"/>
      <c r="L15" s="7"/>
      <c r="M15" s="8"/>
      <c r="N15" s="8"/>
      <c r="O15" s="9"/>
      <c r="Q15" s="30" t="str">
        <f>$A$14</f>
        <v>L-Treonina</v>
      </c>
      <c r="R15" s="60">
        <v>82</v>
      </c>
      <c r="S15" s="30">
        <f t="shared" si="3"/>
        <v>0</v>
      </c>
      <c r="U15" s="26" t="str">
        <f>MATRIZ!C16</f>
        <v>L-Triptofano</v>
      </c>
      <c r="V15" s="29">
        <v>0.15</v>
      </c>
      <c r="W15" s="1"/>
      <c r="X15" s="7"/>
      <c r="Y15" s="8"/>
      <c r="Z15" s="8"/>
      <c r="AA15" s="9"/>
      <c r="AC15" s="30" t="str">
        <f>$A$14</f>
        <v>L-Treonina</v>
      </c>
      <c r="AD15" s="60">
        <v>82</v>
      </c>
      <c r="AE15" s="30">
        <f t="shared" si="4"/>
        <v>11.48</v>
      </c>
    </row>
    <row r="16" spans="1:31" ht="17.399999999999999" x14ac:dyDescent="0.3">
      <c r="A16" s="26" t="str">
        <f>MATRIZ!C17</f>
        <v>Mistura mineral</v>
      </c>
      <c r="B16" s="29">
        <v>0.1</v>
      </c>
      <c r="C16" s="1"/>
      <c r="D16" s="10" t="s">
        <v>29</v>
      </c>
      <c r="E16" s="11">
        <f>B36</f>
        <v>100</v>
      </c>
      <c r="F16" s="1"/>
      <c r="G16" s="1"/>
      <c r="I16" s="26" t="str">
        <f>MATRIZ!C17</f>
        <v>Mistura mineral</v>
      </c>
      <c r="J16" s="29">
        <v>0.5</v>
      </c>
      <c r="K16" s="1"/>
      <c r="L16" s="10" t="s">
        <v>29</v>
      </c>
      <c r="M16" s="11">
        <f>J36</f>
        <v>100.00000000000001</v>
      </c>
      <c r="N16" s="1"/>
      <c r="O16" s="1"/>
      <c r="Q16" s="30" t="str">
        <f>$A$15</f>
        <v>L-Triptofano</v>
      </c>
      <c r="R16" s="64">
        <v>82</v>
      </c>
      <c r="S16" s="30">
        <f t="shared" si="3"/>
        <v>0</v>
      </c>
      <c r="U16" s="26" t="str">
        <f>MATRIZ!C17</f>
        <v>Mistura mineral</v>
      </c>
      <c r="V16" s="29">
        <v>0.5</v>
      </c>
      <c r="W16" s="1"/>
      <c r="X16" s="10" t="s">
        <v>29</v>
      </c>
      <c r="Y16" s="11">
        <f>V36</f>
        <v>100</v>
      </c>
      <c r="Z16" s="1"/>
      <c r="AA16" s="1"/>
      <c r="AC16" s="30" t="str">
        <f>$A$15</f>
        <v>L-Triptofano</v>
      </c>
      <c r="AD16" s="64">
        <v>82</v>
      </c>
      <c r="AE16" s="30">
        <f t="shared" si="4"/>
        <v>12.299999999999999</v>
      </c>
    </row>
    <row r="17" spans="1:31" ht="17.399999999999999" x14ac:dyDescent="0.3">
      <c r="A17" s="26" t="str">
        <f>MATRIZ!C18</f>
        <v>Mistura vitamínica</v>
      </c>
      <c r="B17" s="29">
        <v>0.1</v>
      </c>
      <c r="C17" s="1"/>
      <c r="D17" s="12" t="s">
        <v>30</v>
      </c>
      <c r="E17" s="13">
        <v>100</v>
      </c>
      <c r="F17" s="1"/>
      <c r="G17" s="1"/>
      <c r="I17" s="26" t="str">
        <f>MATRIZ!C18</f>
        <v>Mistura vitamínica</v>
      </c>
      <c r="J17" s="29">
        <v>0.5</v>
      </c>
      <c r="K17" s="1"/>
      <c r="L17" s="12" t="s">
        <v>30</v>
      </c>
      <c r="M17" s="13">
        <v>100</v>
      </c>
      <c r="N17" s="1"/>
      <c r="O17" s="1"/>
      <c r="Q17" s="30" t="str">
        <f>$A$16</f>
        <v>Mistura mineral</v>
      </c>
      <c r="R17" s="64">
        <v>3</v>
      </c>
      <c r="S17" s="30">
        <f t="shared" si="3"/>
        <v>1.5</v>
      </c>
      <c r="U17" s="26" t="str">
        <f>MATRIZ!C18</f>
        <v>Mistura vitamínica</v>
      </c>
      <c r="V17" s="29">
        <v>0.5</v>
      </c>
      <c r="W17" s="1"/>
      <c r="X17" s="12" t="s">
        <v>30</v>
      </c>
      <c r="Y17" s="13">
        <v>100</v>
      </c>
      <c r="Z17" s="1"/>
      <c r="AA17" s="1"/>
      <c r="AC17" s="30" t="str">
        <f>$A$16</f>
        <v>Mistura mineral</v>
      </c>
      <c r="AD17" s="64">
        <v>3</v>
      </c>
      <c r="AE17" s="30">
        <f t="shared" si="4"/>
        <v>1.5</v>
      </c>
    </row>
    <row r="18" spans="1:31" ht="18" thickBot="1" x14ac:dyDescent="0.35">
      <c r="A18" s="26" t="str">
        <f>MATRIZ!C19</f>
        <v>Arroz, quirera</v>
      </c>
      <c r="B18" s="29"/>
      <c r="C18" s="1"/>
      <c r="D18" s="27" t="s">
        <v>31</v>
      </c>
      <c r="E18" s="28">
        <f>E17-E16</f>
        <v>0</v>
      </c>
      <c r="F18" s="1"/>
      <c r="G18" s="1"/>
      <c r="I18" s="26" t="str">
        <f>MATRIZ!C19</f>
        <v>Arroz, quirera</v>
      </c>
      <c r="J18" s="29"/>
      <c r="K18" s="1"/>
      <c r="L18" s="27" t="s">
        <v>31</v>
      </c>
      <c r="M18" s="28">
        <f>M17-M16</f>
        <v>0</v>
      </c>
      <c r="N18" s="1"/>
      <c r="O18" s="1"/>
      <c r="Q18" s="30" t="str">
        <f>$A$17</f>
        <v>Mistura vitamínica</v>
      </c>
      <c r="R18" s="64">
        <v>3.8</v>
      </c>
      <c r="S18" s="30">
        <f t="shared" si="3"/>
        <v>1.9</v>
      </c>
      <c r="U18" s="26" t="str">
        <f>MATRIZ!C19</f>
        <v>Arroz, quirera</v>
      </c>
      <c r="V18" s="29"/>
      <c r="W18" s="1"/>
      <c r="X18" s="27" t="s">
        <v>31</v>
      </c>
      <c r="Y18" s="28">
        <f>Y17-Y16</f>
        <v>0</v>
      </c>
      <c r="Z18" s="1"/>
      <c r="AA18" s="1"/>
      <c r="AC18" s="30" t="str">
        <f>$A$17</f>
        <v>Mistura vitamínica</v>
      </c>
      <c r="AD18" s="64">
        <v>3.8</v>
      </c>
      <c r="AE18" s="30">
        <f t="shared" si="4"/>
        <v>1.9</v>
      </c>
    </row>
    <row r="19" spans="1:31" ht="17.399999999999999" x14ac:dyDescent="0.3">
      <c r="A19" s="26" t="str">
        <f>MATRIZ!C20</f>
        <v>Sorgo</v>
      </c>
      <c r="B19" s="29"/>
      <c r="C19" s="1"/>
      <c r="F19" s="69"/>
      <c r="I19" s="26" t="str">
        <f>MATRIZ!C20</f>
        <v>Sorgo</v>
      </c>
      <c r="J19" s="29"/>
      <c r="K19" s="1"/>
      <c r="L19" s="1"/>
      <c r="M19" s="1"/>
      <c r="N19" s="1"/>
      <c r="O19" s="1"/>
      <c r="Q19" s="30" t="str">
        <f>$A$18</f>
        <v>Arroz, quirera</v>
      </c>
      <c r="R19" s="64">
        <v>0.96</v>
      </c>
      <c r="S19" s="30">
        <f t="shared" si="3"/>
        <v>0</v>
      </c>
      <c r="U19" s="26" t="str">
        <f>MATRIZ!C20</f>
        <v>Sorgo</v>
      </c>
      <c r="V19" s="29"/>
      <c r="W19" s="1"/>
      <c r="X19" s="1"/>
      <c r="Y19" s="1"/>
      <c r="Z19" s="1"/>
      <c r="AA19" s="1"/>
      <c r="AC19" s="30" t="str">
        <f>$A$18</f>
        <v>Arroz, quirera</v>
      </c>
      <c r="AD19" s="64">
        <v>0.96</v>
      </c>
      <c r="AE19" s="30">
        <f t="shared" si="4"/>
        <v>0</v>
      </c>
    </row>
    <row r="20" spans="1:31" ht="17.399999999999999" x14ac:dyDescent="0.3">
      <c r="A20" s="26" t="str">
        <f>MATRIZ!C21</f>
        <v>Glúten de milho 21%</v>
      </c>
      <c r="B20" s="29"/>
      <c r="C20" s="1"/>
      <c r="D20" s="1"/>
      <c r="E20" s="1"/>
      <c r="F20" s="69"/>
      <c r="G20" s="1"/>
      <c r="I20" s="26" t="str">
        <f>MATRIZ!C21</f>
        <v>Glúten de milho 21%</v>
      </c>
      <c r="J20" s="29">
        <v>4</v>
      </c>
      <c r="K20" s="1"/>
      <c r="L20" s="1"/>
      <c r="M20" s="1"/>
      <c r="N20" s="1"/>
      <c r="O20" s="1"/>
      <c r="Q20" s="30" t="str">
        <f>$A$19</f>
        <v>Sorgo</v>
      </c>
      <c r="R20" s="64">
        <v>1</v>
      </c>
      <c r="S20" s="30">
        <f t="shared" si="3"/>
        <v>0</v>
      </c>
      <c r="U20" s="26" t="str">
        <f>MATRIZ!C21</f>
        <v>Glúten de milho 21%</v>
      </c>
      <c r="V20" s="29"/>
      <c r="W20" s="1"/>
      <c r="X20" s="1"/>
      <c r="Y20" s="1"/>
      <c r="Z20" s="1"/>
      <c r="AA20" s="1"/>
      <c r="AC20" s="30" t="str">
        <f>$A$19</f>
        <v>Sorgo</v>
      </c>
      <c r="AD20" s="64">
        <v>1</v>
      </c>
      <c r="AE20" s="30">
        <f t="shared" si="4"/>
        <v>0</v>
      </c>
    </row>
    <row r="21" spans="1:31" ht="18" thickBot="1" x14ac:dyDescent="0.35">
      <c r="A21" s="26" t="str">
        <f>MATRIZ!C22</f>
        <v>Proteína isolada de soja</v>
      </c>
      <c r="B21" s="29">
        <v>4</v>
      </c>
      <c r="C21" s="1"/>
      <c r="D21" s="1"/>
      <c r="E21" s="1"/>
      <c r="F21" s="70"/>
      <c r="G21" s="1"/>
      <c r="I21" s="26" t="str">
        <f>MATRIZ!C22</f>
        <v>Proteína isolada de soja</v>
      </c>
      <c r="J21" s="29">
        <v>2.7149999999999999</v>
      </c>
      <c r="K21" s="1"/>
      <c r="L21" s="1"/>
      <c r="M21" s="1"/>
      <c r="N21" s="1"/>
      <c r="O21" s="1"/>
      <c r="Q21" s="30" t="str">
        <f>$A$20</f>
        <v>Glúten de milho 21%</v>
      </c>
      <c r="R21" s="64">
        <v>1.75</v>
      </c>
      <c r="S21" s="30">
        <f t="shared" si="3"/>
        <v>7</v>
      </c>
      <c r="U21" s="26" t="str">
        <f>MATRIZ!C22</f>
        <v>Proteína isolada de soja</v>
      </c>
      <c r="V21" s="29"/>
      <c r="W21" s="1"/>
      <c r="X21" s="1"/>
      <c r="Y21" s="1"/>
      <c r="Z21" s="1"/>
      <c r="AA21" s="1"/>
      <c r="AC21" s="30" t="str">
        <f>$A$20</f>
        <v>Glúten de milho 21%</v>
      </c>
      <c r="AD21" s="64">
        <v>1.75</v>
      </c>
      <c r="AE21" s="30">
        <f t="shared" si="4"/>
        <v>0</v>
      </c>
    </row>
    <row r="22" spans="1:31" ht="17.399999999999999" x14ac:dyDescent="0.3">
      <c r="A22" s="26" t="str">
        <f>MATRIZ!C23</f>
        <v>Farinha de carne e ossos(43%)</v>
      </c>
      <c r="B22" s="29"/>
      <c r="C22" s="1"/>
      <c r="D22" s="1"/>
      <c r="E22" s="1"/>
      <c r="F22" s="1"/>
      <c r="G22" s="1"/>
      <c r="I22" s="26" t="str">
        <f>MATRIZ!C23</f>
        <v>Farinha de carne e ossos(43%)</v>
      </c>
      <c r="J22" s="29"/>
      <c r="K22" s="1"/>
      <c r="L22" s="1"/>
      <c r="M22" s="1"/>
      <c r="N22" s="1"/>
      <c r="O22" s="1"/>
      <c r="Q22" s="30" t="str">
        <f>$A$21</f>
        <v>Proteína isolada de soja</v>
      </c>
      <c r="R22" s="64">
        <v>8.5</v>
      </c>
      <c r="S22" s="30">
        <f t="shared" si="3"/>
        <v>23.077500000000001</v>
      </c>
      <c r="U22" s="26" t="str">
        <f>MATRIZ!C23</f>
        <v>Farinha de carne e ossos(43%)</v>
      </c>
      <c r="V22" s="29">
        <v>49.95</v>
      </c>
      <c r="W22" s="1"/>
      <c r="X22" s="93"/>
      <c r="Y22" s="94"/>
      <c r="Z22" s="94"/>
      <c r="AA22" s="95"/>
      <c r="AC22" s="30" t="str">
        <f>$A$21</f>
        <v>Proteína isolada de soja</v>
      </c>
      <c r="AD22" s="64">
        <v>8.5</v>
      </c>
      <c r="AE22" s="30">
        <f t="shared" si="4"/>
        <v>0</v>
      </c>
    </row>
    <row r="23" spans="1:31" ht="17.399999999999999" x14ac:dyDescent="0.3">
      <c r="A23" s="26" t="str">
        <f>MATRIZ!C24</f>
        <v>BHT</v>
      </c>
      <c r="B23" s="29">
        <v>0.15</v>
      </c>
      <c r="C23" s="1"/>
      <c r="D23" s="1"/>
      <c r="E23" s="1"/>
      <c r="F23" s="1"/>
      <c r="G23" s="1"/>
      <c r="I23" s="26" t="str">
        <f>MATRIZ!C24</f>
        <v>BHT</v>
      </c>
      <c r="J23" s="29">
        <v>0.15</v>
      </c>
      <c r="K23" s="1"/>
      <c r="L23" s="1"/>
      <c r="M23" s="1"/>
      <c r="N23" s="1"/>
      <c r="O23" s="1"/>
      <c r="Q23" s="30" t="s">
        <v>51</v>
      </c>
      <c r="R23" s="64">
        <v>0.15</v>
      </c>
      <c r="S23" s="30">
        <f>R23*J24</f>
        <v>8.3400000000000002E-2</v>
      </c>
      <c r="U23" s="26" t="str">
        <f>MATRIZ!C24</f>
        <v>BHT</v>
      </c>
      <c r="V23" s="29">
        <v>0.15</v>
      </c>
      <c r="W23" s="1"/>
      <c r="X23" s="96"/>
      <c r="Y23" s="97"/>
      <c r="Z23" s="97"/>
      <c r="AA23" s="98"/>
      <c r="AC23" s="30" t="s">
        <v>51</v>
      </c>
      <c r="AD23" s="64">
        <v>0.15</v>
      </c>
      <c r="AE23" s="30">
        <f>AD23*V24</f>
        <v>1.2195</v>
      </c>
    </row>
    <row r="24" spans="1:31" ht="17.399999999999999" x14ac:dyDescent="0.3">
      <c r="A24" s="26" t="str">
        <f>MATRIZ!C25</f>
        <v>Inerte (caulim)</v>
      </c>
      <c r="B24" s="29">
        <v>2.8410000000000002</v>
      </c>
      <c r="C24" s="1"/>
      <c r="D24" s="1"/>
      <c r="E24" s="1"/>
      <c r="F24" s="1"/>
      <c r="G24" s="1"/>
      <c r="I24" s="26" t="str">
        <f>MATRIZ!C25</f>
        <v>Inerte (caulim)</v>
      </c>
      <c r="J24" s="29">
        <v>0.55600000000000005</v>
      </c>
      <c r="K24" s="1"/>
      <c r="L24" s="1"/>
      <c r="M24" s="1"/>
      <c r="N24" s="1"/>
      <c r="O24" s="1"/>
      <c r="Q24" s="74" t="s">
        <v>52</v>
      </c>
      <c r="R24" s="75">
        <v>0.75</v>
      </c>
      <c r="S24" s="30">
        <f>R24*J25</f>
        <v>2.4375</v>
      </c>
      <c r="U24" s="26" t="str">
        <f>MATRIZ!C25</f>
        <v>Inerte (caulim)</v>
      </c>
      <c r="V24" s="29">
        <v>8.1300000000000008</v>
      </c>
      <c r="W24" s="1"/>
      <c r="X24" s="96"/>
      <c r="Y24" s="97"/>
      <c r="Z24" s="97"/>
      <c r="AA24" s="98"/>
      <c r="AC24" s="79" t="s">
        <v>52</v>
      </c>
      <c r="AD24" s="80">
        <v>0.75</v>
      </c>
      <c r="AE24" s="78">
        <f>AD24*V25</f>
        <v>0</v>
      </c>
    </row>
    <row r="25" spans="1:31" ht="18" thickBot="1" x14ac:dyDescent="0.35">
      <c r="A25" s="26" t="str">
        <f>MATRIZ!C26</f>
        <v>Farelo de trigo</v>
      </c>
      <c r="B25" s="29"/>
      <c r="C25" s="1"/>
      <c r="D25" s="1"/>
      <c r="E25" s="1"/>
      <c r="F25" s="1"/>
      <c r="G25" s="1"/>
      <c r="I25" s="26" t="str">
        <f>MATRIZ!C26</f>
        <v>Farelo de trigo</v>
      </c>
      <c r="J25" s="29">
        <v>3.25</v>
      </c>
      <c r="K25" s="1"/>
      <c r="L25" s="1"/>
      <c r="M25" s="1"/>
      <c r="N25" s="1"/>
      <c r="O25" s="1"/>
      <c r="R25" s="73" t="s">
        <v>61</v>
      </c>
      <c r="S25" s="73">
        <f>SUM(S6:S24)</f>
        <v>216.30621999999997</v>
      </c>
      <c r="U25" s="26" t="str">
        <f>MATRIZ!C26</f>
        <v>Farelo de trigo</v>
      </c>
      <c r="V25" s="29"/>
      <c r="W25" s="1"/>
      <c r="X25" s="96"/>
      <c r="Y25" s="97"/>
      <c r="Z25" s="97"/>
      <c r="AA25" s="98"/>
      <c r="AC25" s="74" t="s">
        <v>67</v>
      </c>
      <c r="AD25" s="75">
        <v>2.5</v>
      </c>
      <c r="AE25" s="30">
        <f>AD25*V22</f>
        <v>124.875</v>
      </c>
    </row>
    <row r="26" spans="1:31" ht="17.399999999999999" x14ac:dyDescent="0.3">
      <c r="A26" s="26">
        <f>MATRIZ!C27</f>
        <v>0</v>
      </c>
      <c r="B26" s="29"/>
      <c r="C26" s="1"/>
      <c r="D26" s="1"/>
      <c r="E26" s="1"/>
      <c r="F26" s="1"/>
      <c r="G26" s="1"/>
      <c r="I26" s="26">
        <f>MATRIZ!C27</f>
        <v>0</v>
      </c>
      <c r="J26" s="29"/>
      <c r="K26" s="1"/>
      <c r="L26" s="93"/>
      <c r="M26" s="94"/>
      <c r="N26" s="94"/>
      <c r="O26" s="95"/>
      <c r="U26" s="26">
        <f>MATRIZ!C27</f>
        <v>0</v>
      </c>
      <c r="V26" s="29"/>
      <c r="W26" s="1"/>
      <c r="X26" s="96"/>
      <c r="Y26" s="97"/>
      <c r="Z26" s="97"/>
      <c r="AA26" s="98"/>
      <c r="AD26" s="73" t="s">
        <v>61</v>
      </c>
      <c r="AE26" s="73">
        <f>SUM(AE6:AE25)</f>
        <v>240.2612</v>
      </c>
    </row>
    <row r="27" spans="1:31" ht="15.6" x14ac:dyDescent="0.3">
      <c r="A27" s="26">
        <f>MATRIZ!C28</f>
        <v>0</v>
      </c>
      <c r="B27" s="29"/>
      <c r="C27" s="1"/>
      <c r="D27" s="1"/>
      <c r="E27" s="1"/>
      <c r="F27" s="1"/>
      <c r="G27" s="1"/>
      <c r="I27" s="26">
        <f>MATRIZ!C28</f>
        <v>0</v>
      </c>
      <c r="J27" s="29"/>
      <c r="K27" s="1"/>
      <c r="L27" s="96"/>
      <c r="M27" s="97"/>
      <c r="N27" s="97"/>
      <c r="O27" s="98"/>
      <c r="U27" s="26">
        <f>MATRIZ!C28</f>
        <v>0</v>
      </c>
      <c r="V27" s="29"/>
      <c r="W27" s="1"/>
      <c r="X27" s="96"/>
      <c r="Y27" s="97"/>
      <c r="Z27" s="97"/>
      <c r="AA27" s="98"/>
    </row>
    <row r="28" spans="1:31" ht="18" thickBot="1" x14ac:dyDescent="0.35">
      <c r="A28" s="26">
        <f>MATRIZ!C29</f>
        <v>0</v>
      </c>
      <c r="B28" s="29"/>
      <c r="C28" s="1"/>
      <c r="D28" s="1"/>
      <c r="E28" s="1"/>
      <c r="F28" s="1"/>
      <c r="G28" s="1"/>
      <c r="I28" s="26">
        <f>MATRIZ!C29</f>
        <v>0</v>
      </c>
      <c r="J28" s="29"/>
      <c r="K28" s="1"/>
      <c r="L28" s="96"/>
      <c r="M28" s="97"/>
      <c r="N28" s="97"/>
      <c r="O28" s="98"/>
      <c r="Q28" s="77" t="s">
        <v>63</v>
      </c>
      <c r="U28" s="26">
        <f>MATRIZ!C29</f>
        <v>0</v>
      </c>
      <c r="V28" s="29"/>
      <c r="W28" s="1"/>
      <c r="X28" s="99"/>
      <c r="Y28" s="100"/>
      <c r="Z28" s="100"/>
      <c r="AA28" s="101"/>
    </row>
    <row r="29" spans="1:31" ht="17.399999999999999" x14ac:dyDescent="0.3">
      <c r="A29" s="26">
        <f>MATRIZ!C30</f>
        <v>0</v>
      </c>
      <c r="B29" s="29"/>
      <c r="C29" s="1"/>
      <c r="D29" s="1"/>
      <c r="E29" s="1"/>
      <c r="F29" s="1"/>
      <c r="G29" s="1"/>
      <c r="I29" s="26">
        <f>MATRIZ!C30</f>
        <v>0</v>
      </c>
      <c r="J29" s="29"/>
      <c r="K29" s="1"/>
      <c r="L29" s="96"/>
      <c r="M29" s="97"/>
      <c r="N29" s="97"/>
      <c r="O29" s="98"/>
      <c r="U29" s="26">
        <f>MATRIZ!C30</f>
        <v>0</v>
      </c>
      <c r="V29" s="29"/>
      <c r="W29" s="1"/>
      <c r="X29" s="102" t="s">
        <v>64</v>
      </c>
      <c r="Y29" s="102"/>
      <c r="Z29" s="102"/>
      <c r="AA29" s="102"/>
      <c r="AC29" s="103" t="s">
        <v>63</v>
      </c>
      <c r="AD29" s="104"/>
    </row>
    <row r="30" spans="1:31" ht="17.399999999999999" x14ac:dyDescent="0.3">
      <c r="A30" s="26">
        <f>MATRIZ!C31</f>
        <v>0</v>
      </c>
      <c r="B30" s="29"/>
      <c r="C30" s="1"/>
      <c r="D30" s="1"/>
      <c r="E30" s="1"/>
      <c r="F30" s="1"/>
      <c r="G30" s="1"/>
      <c r="I30" s="26">
        <f>MATRIZ!C31</f>
        <v>0</v>
      </c>
      <c r="J30" s="29"/>
      <c r="K30" s="1"/>
      <c r="L30" s="96"/>
      <c r="M30" s="97"/>
      <c r="N30" s="97"/>
      <c r="O30" s="98"/>
      <c r="U30" s="26">
        <f>MATRIZ!C31</f>
        <v>0</v>
      </c>
      <c r="V30" s="29"/>
      <c r="W30" s="1"/>
      <c r="X30" s="102"/>
      <c r="Y30" s="102"/>
      <c r="Z30" s="102"/>
      <c r="AA30" s="102"/>
      <c r="AC30" s="103" t="s">
        <v>68</v>
      </c>
      <c r="AD30" s="104"/>
      <c r="AE30" s="104"/>
    </row>
    <row r="31" spans="1:31" ht="15.6" x14ac:dyDescent="0.3">
      <c r="A31" s="26">
        <f>MATRIZ!C32</f>
        <v>0</v>
      </c>
      <c r="B31" s="29"/>
      <c r="C31" s="1"/>
      <c r="D31" s="1"/>
      <c r="E31" s="1"/>
      <c r="F31" s="1"/>
      <c r="G31" s="1"/>
      <c r="I31" s="26">
        <f>MATRIZ!C32</f>
        <v>0</v>
      </c>
      <c r="J31" s="29"/>
      <c r="K31" s="1"/>
      <c r="L31" s="96"/>
      <c r="M31" s="97"/>
      <c r="N31" s="97"/>
      <c r="O31" s="98"/>
      <c r="U31" s="26">
        <f>MATRIZ!C32</f>
        <v>0</v>
      </c>
      <c r="V31" s="29"/>
      <c r="W31" s="1"/>
      <c r="X31" s="102"/>
      <c r="Y31" s="102"/>
      <c r="Z31" s="102"/>
      <c r="AA31" s="102"/>
    </row>
    <row r="32" spans="1:31" ht="15.6" x14ac:dyDescent="0.3">
      <c r="A32" s="26">
        <f>MATRIZ!C33</f>
        <v>0</v>
      </c>
      <c r="B32" s="29"/>
      <c r="C32" s="1"/>
      <c r="D32" s="1"/>
      <c r="E32" s="1"/>
      <c r="F32" s="1"/>
      <c r="G32" s="1"/>
      <c r="I32" s="26">
        <f>MATRIZ!C33</f>
        <v>0</v>
      </c>
      <c r="J32" s="29"/>
      <c r="K32" s="1"/>
      <c r="L32" s="96"/>
      <c r="M32" s="97"/>
      <c r="N32" s="97"/>
      <c r="O32" s="98"/>
      <c r="U32" s="26">
        <f>MATRIZ!C33</f>
        <v>0</v>
      </c>
      <c r="V32" s="29"/>
      <c r="W32" s="1"/>
      <c r="X32" s="102"/>
      <c r="Y32" s="102"/>
      <c r="Z32" s="102"/>
      <c r="AA32" s="102"/>
    </row>
    <row r="33" spans="1:27" ht="15.6" x14ac:dyDescent="0.3">
      <c r="A33" s="26">
        <f>MATRIZ!C34</f>
        <v>0</v>
      </c>
      <c r="B33" s="29"/>
      <c r="C33" s="1"/>
      <c r="D33" s="1"/>
      <c r="E33" s="1"/>
      <c r="F33" s="1"/>
      <c r="G33" s="1"/>
      <c r="I33" s="26">
        <f>MATRIZ!C34</f>
        <v>0</v>
      </c>
      <c r="J33" s="29"/>
      <c r="K33" s="1"/>
      <c r="L33" s="102" t="s">
        <v>64</v>
      </c>
      <c r="M33" s="102"/>
      <c r="N33" s="102"/>
      <c r="O33" s="102"/>
      <c r="U33" s="26">
        <f>MATRIZ!C34</f>
        <v>0</v>
      </c>
      <c r="V33" s="29"/>
      <c r="W33" s="1"/>
      <c r="X33" s="102"/>
      <c r="Y33" s="102"/>
      <c r="Z33" s="102"/>
      <c r="AA33" s="102"/>
    </row>
    <row r="34" spans="1:27" ht="15.6" x14ac:dyDescent="0.3">
      <c r="A34" s="26">
        <f>MATRIZ!C35</f>
        <v>0</v>
      </c>
      <c r="B34" s="29"/>
      <c r="C34" s="1"/>
      <c r="D34" s="1"/>
      <c r="E34" s="1"/>
      <c r="F34" s="1"/>
      <c r="G34" s="1"/>
      <c r="I34" s="26">
        <f>MATRIZ!C35</f>
        <v>0</v>
      </c>
      <c r="J34" s="29"/>
      <c r="K34" s="1"/>
      <c r="L34" s="102"/>
      <c r="M34" s="102"/>
      <c r="N34" s="102"/>
      <c r="O34" s="102"/>
      <c r="U34" s="26">
        <f>MATRIZ!C35</f>
        <v>0</v>
      </c>
      <c r="V34" s="29"/>
      <c r="W34" s="1"/>
      <c r="X34" s="1"/>
      <c r="Y34" s="1"/>
      <c r="Z34" s="1"/>
      <c r="AA34" s="1"/>
    </row>
    <row r="35" spans="1:27" ht="16.2" thickBot="1" x14ac:dyDescent="0.35">
      <c r="A35" s="26">
        <f>MATRIZ!C36</f>
        <v>0</v>
      </c>
      <c r="B35" s="29"/>
      <c r="C35" s="1"/>
      <c r="D35" s="1"/>
      <c r="E35" s="1"/>
      <c r="F35" s="1"/>
      <c r="G35" s="1"/>
      <c r="I35" s="26">
        <f>MATRIZ!C36</f>
        <v>0</v>
      </c>
      <c r="J35" s="29"/>
      <c r="K35" s="1"/>
      <c r="L35" s="102"/>
      <c r="M35" s="102"/>
      <c r="N35" s="102"/>
      <c r="O35" s="102"/>
      <c r="U35" s="26">
        <f>MATRIZ!C36</f>
        <v>0</v>
      </c>
      <c r="V35" s="29"/>
      <c r="W35" s="1"/>
      <c r="X35" s="1"/>
      <c r="Y35" s="1"/>
      <c r="Z35" s="1"/>
      <c r="AA35" s="1"/>
    </row>
    <row r="36" spans="1:27" ht="15.6" x14ac:dyDescent="0.3">
      <c r="A36" s="25" t="s">
        <v>29</v>
      </c>
      <c r="B36" s="11">
        <f>SUM(B5:B35)</f>
        <v>100</v>
      </c>
      <c r="C36" s="1"/>
      <c r="D36" s="1"/>
      <c r="E36" s="1"/>
      <c r="F36" s="1"/>
      <c r="G36" s="1"/>
      <c r="I36" s="25" t="s">
        <v>29</v>
      </c>
      <c r="J36" s="11">
        <f>SUM(J5:J35)</f>
        <v>100.00000000000001</v>
      </c>
      <c r="K36" s="1"/>
      <c r="L36" s="102"/>
      <c r="M36" s="102"/>
      <c r="N36" s="102"/>
      <c r="O36" s="102"/>
      <c r="U36" s="25" t="s">
        <v>29</v>
      </c>
      <c r="V36" s="11">
        <f>SUM(V5:V35)</f>
        <v>100</v>
      </c>
      <c r="W36" s="1"/>
      <c r="X36" s="1"/>
      <c r="Y36" s="1"/>
      <c r="Z36" s="1"/>
      <c r="AA36" s="1"/>
    </row>
    <row r="37" spans="1:27" ht="16.2" thickBot="1" x14ac:dyDescent="0.35">
      <c r="A37" s="14" t="s">
        <v>30</v>
      </c>
      <c r="B37" s="15">
        <v>100</v>
      </c>
      <c r="C37" s="1"/>
      <c r="D37" s="57"/>
      <c r="E37" s="1"/>
      <c r="F37" s="1"/>
      <c r="G37" s="1"/>
      <c r="I37" s="14" t="s">
        <v>30</v>
      </c>
      <c r="J37" s="15">
        <v>100</v>
      </c>
      <c r="K37" s="1"/>
      <c r="L37" s="102"/>
      <c r="M37" s="102"/>
      <c r="N37" s="102"/>
      <c r="O37" s="102"/>
      <c r="U37" s="14" t="s">
        <v>30</v>
      </c>
      <c r="V37" s="15">
        <v>100</v>
      </c>
      <c r="W37" s="1"/>
      <c r="X37" s="1"/>
      <c r="Y37" s="1"/>
      <c r="Z37" s="1"/>
      <c r="AA37" s="1"/>
    </row>
    <row r="38" spans="1:27" ht="15.6" x14ac:dyDescent="0.3">
      <c r="A38" s="18"/>
      <c r="B38" s="18"/>
      <c r="C38" s="18"/>
      <c r="D38" s="18"/>
      <c r="E38" s="18"/>
      <c r="F38" s="18"/>
      <c r="G38" s="18"/>
    </row>
  </sheetData>
  <mergeCells count="12">
    <mergeCell ref="L26:O32"/>
    <mergeCell ref="X22:AA28"/>
    <mergeCell ref="AC5:AD5"/>
    <mergeCell ref="L33:O37"/>
    <mergeCell ref="X29:AA33"/>
    <mergeCell ref="AC29:AD29"/>
    <mergeCell ref="AC30:AE30"/>
    <mergeCell ref="U2:AA2"/>
    <mergeCell ref="A2:G2"/>
    <mergeCell ref="I2:O2"/>
    <mergeCell ref="A1:G1"/>
    <mergeCell ref="Q5:R5"/>
  </mergeCells>
  <phoneticPr fontId="0" type="noConversion"/>
  <pageMargins left="0.78740157499999996" right="0.78740157499999996" top="0.984251969" bottom="0.984251969" header="0.49212598499999999" footer="0.49212598499999999"/>
  <pageSetup paperSize="9" scale="86" orientation="portrait" r:id="rId1"/>
  <headerFooter alignWithMargins="0"/>
  <colBreaks count="2" manualBreakCount="2">
    <brk id="7" max="1048575" man="1"/>
    <brk id="1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DF2C1-BD98-4F08-A010-C966613E3C2B}">
  <dimension ref="O5:Q21"/>
  <sheetViews>
    <sheetView workbookViewId="0">
      <selection activeCell="Q11" sqref="Q11"/>
    </sheetView>
  </sheetViews>
  <sheetFormatPr defaultRowHeight="13.2" x14ac:dyDescent="0.25"/>
  <sheetData>
    <row r="5" spans="15:16" x14ac:dyDescent="0.25">
      <c r="O5" s="76" t="s">
        <v>62</v>
      </c>
      <c r="P5" s="76">
        <v>40</v>
      </c>
    </row>
    <row r="6" spans="15:16" x14ac:dyDescent="0.25">
      <c r="O6" s="76" t="s">
        <v>66</v>
      </c>
      <c r="P6" s="76">
        <v>0.75</v>
      </c>
    </row>
    <row r="21" spans="16:17" x14ac:dyDescent="0.25">
      <c r="P21" s="76" t="s">
        <v>65</v>
      </c>
      <c r="Q21" s="76">
        <v>2.5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15</vt:i4>
      </vt:variant>
    </vt:vector>
  </HeadingPairs>
  <TitlesOfParts>
    <vt:vector size="19" baseType="lpstr">
      <vt:lpstr>Exercicio</vt:lpstr>
      <vt:lpstr>MATRIZ</vt:lpstr>
      <vt:lpstr>RAÇÕES</vt:lpstr>
      <vt:lpstr>PRECO DOS ADICIONADOS</vt:lpstr>
      <vt:lpstr>Ca</vt:lpstr>
      <vt:lpstr>EM</vt:lpstr>
      <vt:lpstr>MATRIZ!fb</vt:lpstr>
      <vt:lpstr>Fb</vt:lpstr>
      <vt:lpstr>Ing_equinos</vt:lpstr>
      <vt:lpstr>Ing_F</vt:lpstr>
      <vt:lpstr>Ingred1</vt:lpstr>
      <vt:lpstr>Ingred2</vt:lpstr>
      <vt:lpstr>Lis</vt:lpstr>
      <vt:lpstr>Met</vt:lpstr>
      <vt:lpstr>Na</vt:lpstr>
      <vt:lpstr>P</vt:lpstr>
      <vt:lpstr>PB</vt:lpstr>
      <vt:lpstr>Treo</vt:lpstr>
      <vt:lpstr>Trip</vt:lpstr>
    </vt:vector>
  </TitlesOfParts>
  <Company>Windows 98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Pentium</dc:creator>
  <cp:lastModifiedBy>ASUS</cp:lastModifiedBy>
  <cp:lastPrinted>2017-11-17T22:09:54Z</cp:lastPrinted>
  <dcterms:created xsi:type="dcterms:W3CDTF">2005-08-11T17:46:39Z</dcterms:created>
  <dcterms:modified xsi:type="dcterms:W3CDTF">2022-07-20T15:36:33Z</dcterms:modified>
</cp:coreProperties>
</file>